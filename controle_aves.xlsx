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aom\Downloads\ProjetoAvicultura\"/>
    </mc:Choice>
  </mc:AlternateContent>
  <bookViews>
    <workbookView xWindow="0" yWindow="0" windowWidth="28800" windowHeight="12210" activeTab="2"/>
  </bookViews>
  <sheets>
    <sheet name="Lote" sheetId="1" r:id="rId1"/>
    <sheet name="Peso" sheetId="8" r:id="rId2"/>
    <sheet name="Mortalidade" sheetId="4" r:id="rId3"/>
    <sheet name="Racao" sheetId="5" r:id="rId4"/>
    <sheet name="Medicacao" sheetId="6" r:id="rId5"/>
    <sheet name="Cliente" sheetId="2" r:id="rId6"/>
    <sheet name="Venda" sheetId="3" r:id="rId7"/>
  </sheets>
  <calcPr calcId="162913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" i="3"/>
  <c r="H12" i="6"/>
  <c r="H13" i="6"/>
  <c r="H14" i="6"/>
  <c r="H15" i="6"/>
  <c r="H13" i="5"/>
  <c r="H14" i="5"/>
  <c r="H15" i="5"/>
  <c r="H16" i="5"/>
  <c r="H12" i="5"/>
  <c r="G7" i="1" l="1"/>
  <c r="G3" i="1"/>
  <c r="G4" i="1"/>
  <c r="G5" i="1"/>
  <c r="G6" i="1"/>
  <c r="G2" i="1"/>
  <c r="H3" i="3" l="1"/>
  <c r="H4" i="3"/>
  <c r="H5" i="3"/>
  <c r="H6" i="3"/>
  <c r="H7" i="3"/>
  <c r="H8" i="3"/>
  <c r="H9" i="3"/>
  <c r="H10" i="3"/>
  <c r="H11" i="3"/>
  <c r="H2" i="3"/>
  <c r="H3" i="5"/>
  <c r="H4" i="5"/>
  <c r="H5" i="5"/>
  <c r="H6" i="5"/>
  <c r="H7" i="5"/>
  <c r="H8" i="5"/>
  <c r="H9" i="5"/>
  <c r="H10" i="5"/>
  <c r="H11" i="5"/>
  <c r="H2" i="5"/>
  <c r="H3" i="6"/>
  <c r="H4" i="6"/>
  <c r="H5" i="6"/>
  <c r="H6" i="6"/>
  <c r="H7" i="6"/>
  <c r="H8" i="6"/>
  <c r="H9" i="6"/>
  <c r="H10" i="6"/>
  <c r="H11" i="6"/>
  <c r="H2" i="6"/>
</calcChain>
</file>

<file path=xl/sharedStrings.xml><?xml version="1.0" encoding="utf-8"?>
<sst xmlns="http://schemas.openxmlformats.org/spreadsheetml/2006/main" count="284" uniqueCount="103">
  <si>
    <t>ID LOTE</t>
  </si>
  <si>
    <t>DATA ENTRADA</t>
  </si>
  <si>
    <t>DATA SAIDA</t>
  </si>
  <si>
    <t>QUANTIDADE INICIAL</t>
  </si>
  <si>
    <t>L001</t>
  </si>
  <si>
    <t>L002</t>
  </si>
  <si>
    <t>L003</t>
  </si>
  <si>
    <t>L004</t>
  </si>
  <si>
    <t>L005</t>
  </si>
  <si>
    <t>COD CLIENTE</t>
  </si>
  <si>
    <t>NOME CLIENTE</t>
  </si>
  <si>
    <t>DATA CADASTRO</t>
  </si>
  <si>
    <t>Cliente 1</t>
  </si>
  <si>
    <t>Cliente 2</t>
  </si>
  <si>
    <t>Cliente 3</t>
  </si>
  <si>
    <t>Cliente 4</t>
  </si>
  <si>
    <t>Cliente 5</t>
  </si>
  <si>
    <t>ID VENDA</t>
  </si>
  <si>
    <t>DATA VENDA</t>
  </si>
  <si>
    <t>VALOR TOTAL</t>
  </si>
  <si>
    <t>ID REGISTRO</t>
  </si>
  <si>
    <t>DATA</t>
  </si>
  <si>
    <t>QUANTIDADE</t>
  </si>
  <si>
    <t>TIPO RACAO</t>
  </si>
  <si>
    <t>FORNECEDOR</t>
  </si>
  <si>
    <t>QUANTIDADE KG</t>
  </si>
  <si>
    <t>CUSTO UNITARIO</t>
  </si>
  <si>
    <t>Inicial</t>
  </si>
  <si>
    <t>Fornecedor C</t>
  </si>
  <si>
    <t>Final</t>
  </si>
  <si>
    <t>Fornecedor B</t>
  </si>
  <si>
    <t>Fornecedor A</t>
  </si>
  <si>
    <t>MEDICACAO</t>
  </si>
  <si>
    <t>Antibiotico B</t>
  </si>
  <si>
    <t>Fornecedor Y</t>
  </si>
  <si>
    <t>Suplemento C</t>
  </si>
  <si>
    <t>Fornecedor X</t>
  </si>
  <si>
    <t>Vacina A</t>
  </si>
  <si>
    <t>CUSTO TOTAL</t>
  </si>
  <si>
    <t>QUANTIDADE VENDIDA</t>
  </si>
  <si>
    <t>VALOR UNITÁRIO</t>
  </si>
  <si>
    <t>TIPO VENDA</t>
  </si>
  <si>
    <t>VIVO</t>
  </si>
  <si>
    <t>MORTO</t>
  </si>
  <si>
    <t>DATA PESAGEM</t>
  </si>
  <si>
    <t>IDADE (DIAS)</t>
  </si>
  <si>
    <t>QTD AMOSTRA</t>
  </si>
  <si>
    <t>PESO MÉDIO (KG)</t>
  </si>
  <si>
    <t>FORN H</t>
  </si>
  <si>
    <t>FORN G</t>
  </si>
  <si>
    <t>FORN J</t>
  </si>
  <si>
    <t>CUSTO UNITÁRIO (R$)</t>
  </si>
  <si>
    <t>CUSTO TOTAL (R$)</t>
  </si>
  <si>
    <t>MOTIVO</t>
  </si>
  <si>
    <t>Coccidiose</t>
  </si>
  <si>
    <t>Coriza Infecciosa</t>
  </si>
  <si>
    <t>Aspergilose</t>
  </si>
  <si>
    <t>L006</t>
  </si>
  <si>
    <t>ID AMOSTRA</t>
  </si>
  <si>
    <t>ID RACAO</t>
  </si>
  <si>
    <t>ID MED</t>
  </si>
  <si>
    <t>AM1L1</t>
  </si>
  <si>
    <t>AM2L1</t>
  </si>
  <si>
    <t>AM3L1</t>
  </si>
  <si>
    <t>AM4L1</t>
  </si>
  <si>
    <t>AM1L2</t>
  </si>
  <si>
    <t>AM2L2</t>
  </si>
  <si>
    <t>AM3L2</t>
  </si>
  <si>
    <t>AM4L2</t>
  </si>
  <si>
    <t>AM1L3</t>
  </si>
  <si>
    <t>AM2L3</t>
  </si>
  <si>
    <t>AM3L3</t>
  </si>
  <si>
    <t>AM4L3</t>
  </si>
  <si>
    <t>AM5L2</t>
  </si>
  <si>
    <t>AM5L1</t>
  </si>
  <si>
    <t>AM5L3</t>
  </si>
  <si>
    <t>AM1L4</t>
  </si>
  <si>
    <t>AM2L4</t>
  </si>
  <si>
    <t>AM3L4</t>
  </si>
  <si>
    <t>AM4L4</t>
  </si>
  <si>
    <t>AM5L4</t>
  </si>
  <si>
    <t>AM1L5</t>
  </si>
  <si>
    <t>AM2L5</t>
  </si>
  <si>
    <t>AM3L5</t>
  </si>
  <si>
    <t>AM4L5</t>
  </si>
  <si>
    <t>AM5L5</t>
  </si>
  <si>
    <t>AM1L6</t>
  </si>
  <si>
    <t>AM2L6</t>
  </si>
  <si>
    <t>AM3L6</t>
  </si>
  <si>
    <t>AM4L6</t>
  </si>
  <si>
    <t>AM5L6</t>
  </si>
  <si>
    <t>Varíola</t>
  </si>
  <si>
    <t>Cliente 6</t>
  </si>
  <si>
    <t>Cliente 7</t>
  </si>
  <si>
    <t>Cliente 8</t>
  </si>
  <si>
    <t>Cliente 9</t>
  </si>
  <si>
    <t>Cliente 10</t>
  </si>
  <si>
    <t>Suplementar</t>
  </si>
  <si>
    <t>Fornecedor D</t>
  </si>
  <si>
    <t>Fornecedor Z</t>
  </si>
  <si>
    <t>Antibiótico A</t>
  </si>
  <si>
    <t>Antiparasitário A</t>
  </si>
  <si>
    <t>Suplemento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</si>
</sst>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2" sqref="E2:E7"/>
    </sheetView>
  </sheetViews>
  <sheetFormatPr defaultRowHeight="15" x14ac:dyDescent="0.25"/>
  <cols>
    <col min="1" max="1" width="9.140625" style="1"/>
    <col min="2" max="2" width="13.140625" style="5" bestFit="1" customWidth="1"/>
    <col min="3" max="4" width="17.28515625" style="3" bestFit="1" customWidth="1"/>
    <col min="5" max="5" width="20" style="1" bestFit="1" customWidth="1"/>
    <col min="6" max="6" width="20.28515625" style="2" bestFit="1" customWidth="1"/>
    <col min="7" max="7" width="17" style="2" bestFit="1" customWidth="1"/>
  </cols>
  <sheetData>
    <row r="1" spans="1:7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51</v>
      </c>
      <c r="G1" s="1" t="s">
        <v>52</v>
      </c>
    </row>
    <row r="2" spans="1:7" x14ac:dyDescent="0.25">
      <c r="A2" s="1" t="s">
        <v>4</v>
      </c>
      <c r="B2" s="5" t="s">
        <v>48</v>
      </c>
      <c r="C2" s="3">
        <v>45689</v>
      </c>
      <c r="D2" s="3">
        <v>45752</v>
      </c>
      <c r="E2" s="1">
        <v>25</v>
      </c>
      <c r="F2" s="2">
        <v>7</v>
      </c>
      <c r="G2" s="2">
        <f>F2*E2</f>
        <v>175</v>
      </c>
    </row>
    <row r="3" spans="1:7" x14ac:dyDescent="0.25">
      <c r="A3" s="1" t="s">
        <v>5</v>
      </c>
      <c r="B3" s="5" t="s">
        <v>48</v>
      </c>
      <c r="C3" s="3">
        <v>45757</v>
      </c>
      <c r="D3" s="3">
        <v>45818</v>
      </c>
      <c r="E3" s="1">
        <v>30</v>
      </c>
      <c r="F3" s="2">
        <v>7</v>
      </c>
      <c r="G3" s="2">
        <f t="shared" ref="G3:G7" si="0">F3*E3</f>
        <v>210</v>
      </c>
    </row>
    <row r="4" spans="1:7" x14ac:dyDescent="0.25">
      <c r="A4" s="1" t="s">
        <v>6</v>
      </c>
      <c r="B4" s="5" t="s">
        <v>48</v>
      </c>
      <c r="C4" s="3">
        <v>45828</v>
      </c>
      <c r="D4" s="3">
        <v>45889</v>
      </c>
      <c r="E4" s="1">
        <v>40</v>
      </c>
      <c r="F4" s="2">
        <v>7</v>
      </c>
      <c r="G4" s="2">
        <f t="shared" si="0"/>
        <v>280</v>
      </c>
    </row>
    <row r="5" spans="1:7" x14ac:dyDescent="0.25">
      <c r="A5" s="1" t="s">
        <v>7</v>
      </c>
      <c r="B5" s="5" t="s">
        <v>49</v>
      </c>
      <c r="C5" s="3">
        <v>45899</v>
      </c>
      <c r="D5" s="3">
        <v>45960</v>
      </c>
      <c r="E5" s="1">
        <v>25</v>
      </c>
      <c r="F5" s="2">
        <v>6</v>
      </c>
      <c r="G5" s="2">
        <f t="shared" si="0"/>
        <v>150</v>
      </c>
    </row>
    <row r="6" spans="1:7" x14ac:dyDescent="0.25">
      <c r="A6" s="1" t="s">
        <v>8</v>
      </c>
      <c r="B6" s="5" t="s">
        <v>50</v>
      </c>
      <c r="C6" s="3">
        <v>45962</v>
      </c>
      <c r="D6" s="3">
        <v>46025</v>
      </c>
      <c r="E6" s="1">
        <v>40</v>
      </c>
      <c r="F6" s="2">
        <v>6.5</v>
      </c>
      <c r="G6" s="2">
        <f t="shared" si="0"/>
        <v>260</v>
      </c>
    </row>
    <row r="7" spans="1:7" x14ac:dyDescent="0.25">
      <c r="A7" s="1" t="s">
        <v>57</v>
      </c>
      <c r="B7" s="5" t="s">
        <v>50</v>
      </c>
      <c r="C7" s="3">
        <v>46027</v>
      </c>
      <c r="D7" s="3">
        <v>46086</v>
      </c>
      <c r="E7" s="1">
        <v>55</v>
      </c>
      <c r="F7" s="2">
        <v>6.5</v>
      </c>
      <c r="G7" s="2">
        <f t="shared" si="0"/>
        <v>357.5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F17" sqref="F17"/>
    </sheetView>
  </sheetViews>
  <sheetFormatPr defaultRowHeight="15" x14ac:dyDescent="0.25"/>
  <cols>
    <col min="1" max="1" width="9.140625" style="5"/>
    <col min="2" max="2" width="11.85546875" style="5" bestFit="1" customWidth="1"/>
    <col min="3" max="3" width="14.85546875" style="3" bestFit="1" customWidth="1"/>
    <col min="4" max="4" width="12.42578125" style="7" bestFit="1" customWidth="1"/>
    <col min="5" max="5" width="14.140625" style="4" bestFit="1" customWidth="1"/>
    <col min="6" max="6" width="16.42578125" style="7" bestFit="1" customWidth="1"/>
  </cols>
  <sheetData>
    <row r="1" spans="1:6" x14ac:dyDescent="0.25">
      <c r="A1" s="1" t="s">
        <v>0</v>
      </c>
      <c r="B1" s="1" t="s">
        <v>58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25">
      <c r="A2" s="5" t="s">
        <v>4</v>
      </c>
      <c r="B2" s="5" t="s">
        <v>61</v>
      </c>
      <c r="C2" s="3">
        <v>45689</v>
      </c>
      <c r="D2" s="4">
        <v>0</v>
      </c>
      <c r="E2" s="4">
        <v>10</v>
      </c>
      <c r="F2" s="6">
        <v>0.25</v>
      </c>
    </row>
    <row r="3" spans="1:6" x14ac:dyDescent="0.25">
      <c r="A3" s="5" t="s">
        <v>4</v>
      </c>
      <c r="B3" s="5" t="s">
        <v>62</v>
      </c>
      <c r="C3" s="3">
        <v>45703</v>
      </c>
      <c r="D3" s="4">
        <v>15</v>
      </c>
      <c r="E3" s="4">
        <v>10</v>
      </c>
      <c r="F3" s="7">
        <v>1.5</v>
      </c>
    </row>
    <row r="4" spans="1:6" x14ac:dyDescent="0.25">
      <c r="A4" s="5" t="s">
        <v>4</v>
      </c>
      <c r="B4" s="5" t="s">
        <v>63</v>
      </c>
      <c r="C4" s="3">
        <v>45718</v>
      </c>
      <c r="D4" s="4">
        <v>30</v>
      </c>
      <c r="E4" s="4">
        <v>10</v>
      </c>
      <c r="F4" s="7">
        <v>2</v>
      </c>
    </row>
    <row r="5" spans="1:6" x14ac:dyDescent="0.25">
      <c r="A5" s="5" t="s">
        <v>4</v>
      </c>
      <c r="B5" s="5" t="s">
        <v>64</v>
      </c>
      <c r="C5" s="3">
        <v>45733</v>
      </c>
      <c r="D5" s="4">
        <v>45</v>
      </c>
      <c r="E5" s="4">
        <v>10</v>
      </c>
      <c r="F5" s="7">
        <v>2.5</v>
      </c>
    </row>
    <row r="6" spans="1:6" x14ac:dyDescent="0.25">
      <c r="A6" s="5" t="s">
        <v>4</v>
      </c>
      <c r="B6" s="5" t="s">
        <v>74</v>
      </c>
      <c r="C6" s="3">
        <v>45748</v>
      </c>
      <c r="D6" s="4">
        <v>60</v>
      </c>
      <c r="E6" s="4">
        <v>10</v>
      </c>
      <c r="F6" s="7">
        <v>3</v>
      </c>
    </row>
    <row r="7" spans="1:6" x14ac:dyDescent="0.25">
      <c r="A7" s="5" t="s">
        <v>5</v>
      </c>
      <c r="B7" s="5" t="s">
        <v>65</v>
      </c>
      <c r="C7" s="3">
        <v>45758</v>
      </c>
      <c r="D7" s="4">
        <v>0</v>
      </c>
      <c r="E7" s="4">
        <v>5</v>
      </c>
      <c r="F7" s="7">
        <v>0.3</v>
      </c>
    </row>
    <row r="8" spans="1:6" x14ac:dyDescent="0.25">
      <c r="A8" s="5" t="s">
        <v>5</v>
      </c>
      <c r="B8" s="5" t="s">
        <v>66</v>
      </c>
      <c r="C8" s="3">
        <v>45773</v>
      </c>
      <c r="D8" s="4">
        <v>15</v>
      </c>
      <c r="E8" s="4">
        <v>5</v>
      </c>
      <c r="F8" s="7">
        <v>1.55</v>
      </c>
    </row>
    <row r="9" spans="1:6" x14ac:dyDescent="0.25">
      <c r="A9" s="5" t="s">
        <v>5</v>
      </c>
      <c r="B9" s="5" t="s">
        <v>67</v>
      </c>
      <c r="C9" s="3">
        <v>45788</v>
      </c>
      <c r="D9" s="4">
        <v>30</v>
      </c>
      <c r="E9" s="4">
        <v>5</v>
      </c>
      <c r="F9" s="7">
        <v>2.2000000000000002</v>
      </c>
    </row>
    <row r="10" spans="1:6" x14ac:dyDescent="0.25">
      <c r="A10" s="5" t="s">
        <v>5</v>
      </c>
      <c r="B10" s="5" t="s">
        <v>68</v>
      </c>
      <c r="C10" s="3">
        <v>45803</v>
      </c>
      <c r="D10" s="4">
        <v>45</v>
      </c>
      <c r="E10" s="4">
        <v>5</v>
      </c>
      <c r="F10" s="7">
        <v>2.7</v>
      </c>
    </row>
    <row r="11" spans="1:6" x14ac:dyDescent="0.25">
      <c r="A11" s="5" t="s">
        <v>5</v>
      </c>
      <c r="B11" s="5" t="s">
        <v>73</v>
      </c>
      <c r="C11" s="3">
        <v>45818</v>
      </c>
      <c r="D11" s="4">
        <v>60</v>
      </c>
      <c r="E11" s="4">
        <v>5</v>
      </c>
      <c r="F11" s="7">
        <v>3.2</v>
      </c>
    </row>
    <row r="12" spans="1:6" x14ac:dyDescent="0.25">
      <c r="A12" s="5" t="s">
        <v>6</v>
      </c>
      <c r="B12" s="5" t="s">
        <v>69</v>
      </c>
      <c r="C12" s="3">
        <v>45828</v>
      </c>
      <c r="D12" s="4">
        <v>0</v>
      </c>
      <c r="E12" s="4">
        <v>10</v>
      </c>
      <c r="F12" s="7">
        <v>0.2</v>
      </c>
    </row>
    <row r="13" spans="1:6" x14ac:dyDescent="0.25">
      <c r="A13" s="5" t="s">
        <v>6</v>
      </c>
      <c r="B13" s="5" t="s">
        <v>70</v>
      </c>
      <c r="C13" s="3">
        <v>45843</v>
      </c>
      <c r="D13" s="4">
        <v>15</v>
      </c>
      <c r="E13" s="4">
        <v>10</v>
      </c>
      <c r="F13" s="7">
        <v>1.5</v>
      </c>
    </row>
    <row r="14" spans="1:6" x14ac:dyDescent="0.25">
      <c r="A14" s="5" t="s">
        <v>6</v>
      </c>
      <c r="B14" s="5" t="s">
        <v>71</v>
      </c>
      <c r="C14" s="3">
        <v>45858</v>
      </c>
      <c r="D14" s="4">
        <v>30</v>
      </c>
      <c r="E14" s="4">
        <v>10</v>
      </c>
      <c r="F14" s="7">
        <v>1.8</v>
      </c>
    </row>
    <row r="15" spans="1:6" x14ac:dyDescent="0.25">
      <c r="A15" s="5" t="s">
        <v>6</v>
      </c>
      <c r="B15" s="5" t="s">
        <v>72</v>
      </c>
      <c r="C15" s="3">
        <v>45874</v>
      </c>
      <c r="D15" s="4">
        <v>45</v>
      </c>
      <c r="E15" s="4">
        <v>10</v>
      </c>
      <c r="F15" s="7">
        <v>2.2000000000000002</v>
      </c>
    </row>
    <row r="16" spans="1:6" x14ac:dyDescent="0.25">
      <c r="A16" s="5" t="s">
        <v>6</v>
      </c>
      <c r="B16" s="5" t="s">
        <v>75</v>
      </c>
      <c r="C16" s="3">
        <v>45889</v>
      </c>
      <c r="D16" s="4">
        <v>60</v>
      </c>
      <c r="E16" s="4">
        <v>10</v>
      </c>
      <c r="F16" s="7">
        <v>2.95</v>
      </c>
    </row>
    <row r="17" spans="1:6" x14ac:dyDescent="0.25">
      <c r="A17" s="5" t="s">
        <v>7</v>
      </c>
      <c r="B17" s="5" t="s">
        <v>76</v>
      </c>
      <c r="C17" s="3">
        <v>45899</v>
      </c>
      <c r="D17" s="7">
        <v>0</v>
      </c>
      <c r="E17" s="4">
        <v>10</v>
      </c>
      <c r="F17" s="7">
        <v>0.3</v>
      </c>
    </row>
    <row r="18" spans="1:6" x14ac:dyDescent="0.25">
      <c r="A18" s="5" t="s">
        <v>7</v>
      </c>
      <c r="B18" s="5" t="s">
        <v>77</v>
      </c>
      <c r="C18" s="3">
        <v>45915</v>
      </c>
      <c r="D18" s="7">
        <v>15</v>
      </c>
      <c r="E18" s="4">
        <v>10</v>
      </c>
      <c r="F18" s="7">
        <v>1.3</v>
      </c>
    </row>
    <row r="19" spans="1:6" x14ac:dyDescent="0.25">
      <c r="A19" s="5" t="s">
        <v>7</v>
      </c>
      <c r="B19" s="5" t="s">
        <v>78</v>
      </c>
      <c r="C19" s="3">
        <v>45930</v>
      </c>
      <c r="D19" s="7">
        <v>30</v>
      </c>
      <c r="E19" s="4">
        <v>10</v>
      </c>
      <c r="F19" s="7">
        <v>2</v>
      </c>
    </row>
    <row r="20" spans="1:6" x14ac:dyDescent="0.25">
      <c r="A20" s="5" t="s">
        <v>7</v>
      </c>
      <c r="B20" s="5" t="s">
        <v>79</v>
      </c>
      <c r="C20" s="3">
        <v>45944</v>
      </c>
      <c r="D20" s="7">
        <v>45</v>
      </c>
      <c r="E20" s="4">
        <v>10</v>
      </c>
      <c r="F20" s="7">
        <v>2.5</v>
      </c>
    </row>
    <row r="21" spans="1:6" x14ac:dyDescent="0.25">
      <c r="A21" s="5" t="s">
        <v>7</v>
      </c>
      <c r="B21" s="5" t="s">
        <v>80</v>
      </c>
      <c r="C21" s="3">
        <v>45960</v>
      </c>
      <c r="D21" s="7">
        <v>60</v>
      </c>
      <c r="E21" s="4">
        <v>10</v>
      </c>
      <c r="F21" s="7">
        <v>3.5</v>
      </c>
    </row>
    <row r="22" spans="1:6" x14ac:dyDescent="0.25">
      <c r="A22" s="5" t="s">
        <v>8</v>
      </c>
      <c r="B22" s="5" t="s">
        <v>81</v>
      </c>
      <c r="C22" s="3">
        <v>45962</v>
      </c>
      <c r="D22" s="7">
        <v>0</v>
      </c>
      <c r="E22" s="4">
        <v>15</v>
      </c>
      <c r="F22" s="7">
        <v>0.3</v>
      </c>
    </row>
    <row r="23" spans="1:6" x14ac:dyDescent="0.25">
      <c r="A23" s="5" t="s">
        <v>8</v>
      </c>
      <c r="B23" s="5" t="s">
        <v>82</v>
      </c>
      <c r="C23" s="3">
        <v>45977</v>
      </c>
      <c r="D23" s="7">
        <v>15</v>
      </c>
      <c r="E23" s="4">
        <v>15</v>
      </c>
      <c r="F23" s="7">
        <v>1.1000000000000001</v>
      </c>
    </row>
    <row r="24" spans="1:6" x14ac:dyDescent="0.25">
      <c r="A24" s="5" t="s">
        <v>8</v>
      </c>
      <c r="B24" s="5" t="s">
        <v>83</v>
      </c>
      <c r="C24" s="3">
        <v>45992</v>
      </c>
      <c r="D24" s="7">
        <v>30</v>
      </c>
      <c r="E24" s="4">
        <v>15</v>
      </c>
      <c r="F24" s="7">
        <v>1.8</v>
      </c>
    </row>
    <row r="25" spans="1:6" x14ac:dyDescent="0.25">
      <c r="A25" s="5" t="s">
        <v>8</v>
      </c>
      <c r="B25" s="5" t="s">
        <v>84</v>
      </c>
      <c r="C25" s="3">
        <v>46007</v>
      </c>
      <c r="D25" s="7">
        <v>45</v>
      </c>
      <c r="E25" s="4">
        <v>15</v>
      </c>
      <c r="F25" s="7">
        <v>2.6</v>
      </c>
    </row>
    <row r="26" spans="1:6" x14ac:dyDescent="0.25">
      <c r="A26" s="5" t="s">
        <v>8</v>
      </c>
      <c r="B26" s="5" t="s">
        <v>85</v>
      </c>
      <c r="C26" s="3">
        <v>46025</v>
      </c>
      <c r="D26" s="7">
        <v>60</v>
      </c>
      <c r="E26" s="4">
        <v>15</v>
      </c>
      <c r="F26" s="7">
        <v>3.4</v>
      </c>
    </row>
    <row r="27" spans="1:6" x14ac:dyDescent="0.25">
      <c r="A27" s="5" t="s">
        <v>57</v>
      </c>
      <c r="B27" s="5" t="s">
        <v>86</v>
      </c>
      <c r="C27" s="3">
        <v>46027</v>
      </c>
      <c r="D27" s="7">
        <v>0</v>
      </c>
      <c r="E27" s="4">
        <v>10</v>
      </c>
      <c r="F27" s="7">
        <v>0.3</v>
      </c>
    </row>
    <row r="28" spans="1:6" x14ac:dyDescent="0.25">
      <c r="A28" s="5" t="s">
        <v>57</v>
      </c>
      <c r="B28" s="5" t="s">
        <v>87</v>
      </c>
      <c r="C28" s="3">
        <v>46042</v>
      </c>
      <c r="D28" s="7">
        <v>15</v>
      </c>
      <c r="E28" s="4">
        <v>10</v>
      </c>
      <c r="F28" s="7">
        <v>1.1000000000000001</v>
      </c>
    </row>
    <row r="29" spans="1:6" x14ac:dyDescent="0.25">
      <c r="A29" s="5" t="s">
        <v>57</v>
      </c>
      <c r="B29" s="5" t="s">
        <v>88</v>
      </c>
      <c r="C29" s="3">
        <v>46058</v>
      </c>
      <c r="D29" s="7">
        <v>30</v>
      </c>
      <c r="E29" s="4">
        <v>10</v>
      </c>
      <c r="F29" s="7">
        <v>2</v>
      </c>
    </row>
    <row r="30" spans="1:6" x14ac:dyDescent="0.25">
      <c r="A30" s="5" t="s">
        <v>57</v>
      </c>
      <c r="B30" s="5" t="s">
        <v>89</v>
      </c>
      <c r="C30" s="3">
        <v>46073</v>
      </c>
      <c r="D30" s="7">
        <v>45</v>
      </c>
      <c r="E30" s="4">
        <v>10</v>
      </c>
      <c r="F30" s="7">
        <v>2.9</v>
      </c>
    </row>
    <row r="31" spans="1:6" x14ac:dyDescent="0.25">
      <c r="A31" s="5" t="s">
        <v>57</v>
      </c>
      <c r="B31" s="5" t="s">
        <v>90</v>
      </c>
      <c r="C31" s="3">
        <v>46085</v>
      </c>
      <c r="D31" s="7">
        <v>60</v>
      </c>
      <c r="E31" s="4">
        <v>10</v>
      </c>
      <c r="F31" s="7">
        <v>3.7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2" sqref="E2"/>
    </sheetView>
  </sheetViews>
  <sheetFormatPr defaultRowHeight="15" x14ac:dyDescent="0.25"/>
  <cols>
    <col min="1" max="1" width="11.85546875" style="1" bestFit="1" customWidth="1"/>
    <col min="2" max="2" width="9.140625" style="1"/>
    <col min="3" max="3" width="17.28515625" style="1" bestFit="1" customWidth="1"/>
    <col min="4" max="4" width="12.85546875" style="1" bestFit="1" customWidth="1"/>
    <col min="5" max="5" width="15.85546875" style="1" bestFit="1" customWidth="1"/>
  </cols>
  <sheetData>
    <row r="1" spans="1:6" x14ac:dyDescent="0.25">
      <c r="A1" s="1" t="s">
        <v>20</v>
      </c>
      <c r="B1" s="1" t="s">
        <v>0</v>
      </c>
      <c r="C1" s="1" t="s">
        <v>21</v>
      </c>
      <c r="D1" s="1" t="s">
        <v>22</v>
      </c>
      <c r="E1" s="1" t="s">
        <v>53</v>
      </c>
      <c r="F1" s="1"/>
    </row>
    <row r="2" spans="1:6" x14ac:dyDescent="0.25">
      <c r="A2" s="1">
        <v>1</v>
      </c>
      <c r="B2" s="1" t="s">
        <v>4</v>
      </c>
      <c r="C2" s="3">
        <v>45695</v>
      </c>
      <c r="D2" s="4">
        <v>2</v>
      </c>
      <c r="E2" s="1" t="s">
        <v>54</v>
      </c>
    </row>
    <row r="3" spans="1:6" x14ac:dyDescent="0.25">
      <c r="A3" s="1">
        <v>2</v>
      </c>
      <c r="B3" s="1" t="s">
        <v>4</v>
      </c>
      <c r="C3" s="3">
        <v>45698</v>
      </c>
      <c r="D3" s="4">
        <v>1</v>
      </c>
      <c r="E3" s="1" t="s">
        <v>54</v>
      </c>
    </row>
    <row r="4" spans="1:6" x14ac:dyDescent="0.25">
      <c r="A4" s="1">
        <v>3</v>
      </c>
      <c r="B4" s="1" t="s">
        <v>4</v>
      </c>
      <c r="C4" s="3">
        <v>45706</v>
      </c>
      <c r="D4" s="4">
        <v>2</v>
      </c>
      <c r="E4" s="1" t="s">
        <v>56</v>
      </c>
    </row>
    <row r="5" spans="1:6" x14ac:dyDescent="0.25">
      <c r="A5" s="1">
        <v>4</v>
      </c>
      <c r="B5" s="1" t="s">
        <v>5</v>
      </c>
      <c r="C5" s="3">
        <v>45762</v>
      </c>
      <c r="D5" s="4">
        <v>2</v>
      </c>
      <c r="E5" s="1" t="s">
        <v>55</v>
      </c>
    </row>
    <row r="6" spans="1:6" x14ac:dyDescent="0.25">
      <c r="A6" s="1">
        <v>5</v>
      </c>
      <c r="B6" s="1" t="s">
        <v>5</v>
      </c>
      <c r="C6" s="3">
        <v>45778</v>
      </c>
      <c r="D6" s="4">
        <v>4</v>
      </c>
      <c r="E6" s="1" t="s">
        <v>56</v>
      </c>
    </row>
    <row r="7" spans="1:6" x14ac:dyDescent="0.25">
      <c r="A7" s="1">
        <v>6</v>
      </c>
      <c r="B7" s="1" t="s">
        <v>6</v>
      </c>
      <c r="C7" s="3">
        <v>45836</v>
      </c>
      <c r="D7" s="4">
        <v>5</v>
      </c>
      <c r="E7" s="1" t="s">
        <v>56</v>
      </c>
    </row>
    <row r="8" spans="1:6" x14ac:dyDescent="0.25">
      <c r="A8" s="1">
        <v>7</v>
      </c>
      <c r="B8" s="1" t="s">
        <v>7</v>
      </c>
      <c r="C8" s="3">
        <v>45903</v>
      </c>
      <c r="D8" s="4">
        <v>1</v>
      </c>
      <c r="E8" s="1" t="s">
        <v>91</v>
      </c>
    </row>
    <row r="9" spans="1:6" x14ac:dyDescent="0.25">
      <c r="A9" s="1">
        <v>8</v>
      </c>
      <c r="B9" s="1" t="s">
        <v>7</v>
      </c>
      <c r="C9" s="3">
        <v>45922</v>
      </c>
      <c r="D9" s="4">
        <v>2</v>
      </c>
      <c r="E9" s="1" t="s">
        <v>55</v>
      </c>
    </row>
    <row r="10" spans="1:6" x14ac:dyDescent="0.25">
      <c r="A10" s="1">
        <v>9</v>
      </c>
      <c r="B10" s="1" t="s">
        <v>8</v>
      </c>
      <c r="C10" s="3">
        <v>45967</v>
      </c>
      <c r="D10" s="4">
        <v>3</v>
      </c>
      <c r="E10" s="1" t="s">
        <v>55</v>
      </c>
    </row>
    <row r="11" spans="1:6" x14ac:dyDescent="0.25">
      <c r="A11" s="1">
        <v>10</v>
      </c>
      <c r="B11" s="1" t="s">
        <v>57</v>
      </c>
      <c r="C11" s="3">
        <v>46030</v>
      </c>
      <c r="D11" s="4">
        <v>3</v>
      </c>
      <c r="E11" s="1" t="s">
        <v>91</v>
      </c>
    </row>
    <row r="12" spans="1:6" x14ac:dyDescent="0.25">
      <c r="A12" s="1">
        <v>11</v>
      </c>
      <c r="B12" s="1" t="s">
        <v>57</v>
      </c>
      <c r="C12" s="3">
        <v>46045</v>
      </c>
      <c r="D12" s="4">
        <v>2</v>
      </c>
      <c r="E12" s="1" t="s">
        <v>56</v>
      </c>
    </row>
    <row r="13" spans="1:6" x14ac:dyDescent="0.25">
      <c r="C13" s="3"/>
    </row>
    <row r="14" spans="1:6" x14ac:dyDescent="0.25">
      <c r="C14" s="3"/>
    </row>
    <row r="15" spans="1:6" x14ac:dyDescent="0.25">
      <c r="C15" s="3"/>
    </row>
    <row r="16" spans="1:6" x14ac:dyDescent="0.25">
      <c r="C16" s="3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H16" sqref="H16"/>
    </sheetView>
  </sheetViews>
  <sheetFormatPr defaultRowHeight="15" x14ac:dyDescent="0.25"/>
  <cols>
    <col min="1" max="1" width="11.85546875" style="1" bestFit="1" customWidth="1"/>
    <col min="2" max="2" width="9.140625" style="1"/>
    <col min="3" max="3" width="12.140625" style="1" bestFit="1" customWidth="1"/>
    <col min="4" max="4" width="13.140625" style="1" bestFit="1" customWidth="1"/>
    <col min="5" max="5" width="17.28515625" style="1" bestFit="1" customWidth="1"/>
    <col min="6" max="6" width="15.85546875" style="1" bestFit="1" customWidth="1"/>
    <col min="7" max="7" width="16.140625" style="1" bestFit="1" customWidth="1"/>
    <col min="8" max="8" width="12.85546875" style="1" bestFit="1" customWidth="1"/>
  </cols>
  <sheetData>
    <row r="1" spans="1:8" x14ac:dyDescent="0.25">
      <c r="A1" s="1" t="s">
        <v>59</v>
      </c>
      <c r="B1" s="1" t="s">
        <v>0</v>
      </c>
      <c r="C1" s="1" t="s">
        <v>23</v>
      </c>
      <c r="D1" s="1" t="s">
        <v>24</v>
      </c>
      <c r="E1" s="1" t="s">
        <v>1</v>
      </c>
      <c r="F1" s="1" t="s">
        <v>25</v>
      </c>
      <c r="G1" s="1" t="s">
        <v>26</v>
      </c>
      <c r="H1" s="1" t="s">
        <v>38</v>
      </c>
    </row>
    <row r="2" spans="1:8" x14ac:dyDescent="0.25">
      <c r="A2" s="1">
        <v>1</v>
      </c>
      <c r="B2" s="1" t="s">
        <v>4</v>
      </c>
      <c r="C2" s="1" t="s">
        <v>27</v>
      </c>
      <c r="D2" s="1" t="s">
        <v>28</v>
      </c>
      <c r="E2" s="3">
        <v>45690</v>
      </c>
      <c r="F2" s="1">
        <v>35</v>
      </c>
      <c r="G2" s="2">
        <v>5.75</v>
      </c>
      <c r="H2" s="2">
        <f>G2*F2</f>
        <v>201.25</v>
      </c>
    </row>
    <row r="3" spans="1:8" x14ac:dyDescent="0.25">
      <c r="A3" s="1">
        <v>2</v>
      </c>
      <c r="B3" s="1" t="s">
        <v>4</v>
      </c>
      <c r="C3" s="1" t="s">
        <v>29</v>
      </c>
      <c r="D3" s="1" t="s">
        <v>30</v>
      </c>
      <c r="E3" s="3">
        <v>45734</v>
      </c>
      <c r="F3" s="1">
        <v>45</v>
      </c>
      <c r="G3" s="2">
        <v>4.5</v>
      </c>
      <c r="H3" s="2">
        <f t="shared" ref="H3:H16" si="0">G3*F3</f>
        <v>202.5</v>
      </c>
    </row>
    <row r="4" spans="1:8" x14ac:dyDescent="0.25">
      <c r="A4" s="1">
        <v>3</v>
      </c>
      <c r="B4" s="1" t="s">
        <v>5</v>
      </c>
      <c r="C4" s="1" t="s">
        <v>27</v>
      </c>
      <c r="D4" s="1" t="s">
        <v>31</v>
      </c>
      <c r="E4" s="3">
        <v>45758</v>
      </c>
      <c r="F4" s="1">
        <v>40</v>
      </c>
      <c r="G4" s="2">
        <v>5.6</v>
      </c>
      <c r="H4" s="2">
        <f t="shared" si="0"/>
        <v>224</v>
      </c>
    </row>
    <row r="5" spans="1:8" x14ac:dyDescent="0.25">
      <c r="A5" s="1">
        <v>4</v>
      </c>
      <c r="B5" s="1" t="s">
        <v>5</v>
      </c>
      <c r="C5" s="1" t="s">
        <v>29</v>
      </c>
      <c r="D5" s="1" t="s">
        <v>31</v>
      </c>
      <c r="E5" s="3">
        <v>45808</v>
      </c>
      <c r="F5" s="1">
        <v>40</v>
      </c>
      <c r="G5" s="2">
        <v>4.4000000000000004</v>
      </c>
      <c r="H5" s="2">
        <f t="shared" si="0"/>
        <v>176</v>
      </c>
    </row>
    <row r="6" spans="1:8" x14ac:dyDescent="0.25">
      <c r="A6" s="1">
        <v>5</v>
      </c>
      <c r="B6" s="1" t="s">
        <v>6</v>
      </c>
      <c r="C6" s="1" t="s">
        <v>27</v>
      </c>
      <c r="D6" s="1" t="s">
        <v>30</v>
      </c>
      <c r="E6" s="3">
        <v>45829</v>
      </c>
      <c r="F6" s="1">
        <v>45</v>
      </c>
      <c r="G6" s="2">
        <v>5.7</v>
      </c>
      <c r="H6" s="2">
        <f t="shared" si="0"/>
        <v>256.5</v>
      </c>
    </row>
    <row r="7" spans="1:8" x14ac:dyDescent="0.25">
      <c r="A7" s="1">
        <v>6</v>
      </c>
      <c r="B7" s="1" t="s">
        <v>6</v>
      </c>
      <c r="C7" s="1" t="s">
        <v>29</v>
      </c>
      <c r="D7" s="1" t="s">
        <v>28</v>
      </c>
      <c r="E7" s="3">
        <v>45840</v>
      </c>
      <c r="F7" s="1">
        <v>35</v>
      </c>
      <c r="G7" s="2">
        <v>4.45</v>
      </c>
      <c r="H7" s="2">
        <f t="shared" si="0"/>
        <v>155.75</v>
      </c>
    </row>
    <row r="8" spans="1:8" x14ac:dyDescent="0.25">
      <c r="A8" s="1">
        <v>7</v>
      </c>
      <c r="B8" s="1" t="s">
        <v>6</v>
      </c>
      <c r="C8" s="1" t="s">
        <v>97</v>
      </c>
      <c r="D8" s="1" t="s">
        <v>28</v>
      </c>
      <c r="E8" s="3">
        <v>45870</v>
      </c>
      <c r="F8" s="1">
        <v>20</v>
      </c>
      <c r="G8" s="2">
        <v>5.9</v>
      </c>
      <c r="H8" s="2">
        <f t="shared" si="0"/>
        <v>118</v>
      </c>
    </row>
    <row r="9" spans="1:8" x14ac:dyDescent="0.25">
      <c r="A9" s="1">
        <v>8</v>
      </c>
      <c r="B9" s="1" t="s">
        <v>7</v>
      </c>
      <c r="C9" s="1" t="s">
        <v>27</v>
      </c>
      <c r="D9" s="1" t="s">
        <v>28</v>
      </c>
      <c r="E9" s="3">
        <v>45901</v>
      </c>
      <c r="F9" s="1">
        <v>25</v>
      </c>
      <c r="G9" s="2">
        <v>5.65</v>
      </c>
      <c r="H9" s="2">
        <f t="shared" si="0"/>
        <v>141.25</v>
      </c>
    </row>
    <row r="10" spans="1:8" x14ac:dyDescent="0.25">
      <c r="A10" s="1">
        <v>9</v>
      </c>
      <c r="B10" s="1" t="s">
        <v>7</v>
      </c>
      <c r="C10" s="1" t="s">
        <v>29</v>
      </c>
      <c r="D10" s="1" t="s">
        <v>31</v>
      </c>
      <c r="E10" s="3">
        <v>45929</v>
      </c>
      <c r="F10" s="1">
        <v>15</v>
      </c>
      <c r="G10" s="2">
        <v>4.4000000000000004</v>
      </c>
      <c r="H10" s="2">
        <f t="shared" si="0"/>
        <v>66</v>
      </c>
    </row>
    <row r="11" spans="1:8" x14ac:dyDescent="0.25">
      <c r="A11" s="1">
        <v>10</v>
      </c>
      <c r="B11" s="1" t="s">
        <v>8</v>
      </c>
      <c r="C11" s="1" t="s">
        <v>27</v>
      </c>
      <c r="D11" s="1" t="s">
        <v>31</v>
      </c>
      <c r="E11" s="3">
        <v>45962</v>
      </c>
      <c r="F11" s="1">
        <v>18</v>
      </c>
      <c r="G11" s="2">
        <v>5.6</v>
      </c>
      <c r="H11" s="2">
        <f t="shared" si="0"/>
        <v>100.8</v>
      </c>
    </row>
    <row r="12" spans="1:8" x14ac:dyDescent="0.25">
      <c r="A12" s="1">
        <v>11</v>
      </c>
      <c r="B12" s="1" t="s">
        <v>8</v>
      </c>
      <c r="C12" s="1" t="s">
        <v>97</v>
      </c>
      <c r="D12" s="1" t="s">
        <v>31</v>
      </c>
      <c r="E12" s="3">
        <v>45986</v>
      </c>
      <c r="F12" s="1">
        <v>6</v>
      </c>
      <c r="G12" s="2">
        <v>5.95</v>
      </c>
      <c r="H12" s="2">
        <f t="shared" si="0"/>
        <v>35.700000000000003</v>
      </c>
    </row>
    <row r="13" spans="1:8" x14ac:dyDescent="0.25">
      <c r="A13" s="1">
        <v>12</v>
      </c>
      <c r="B13" s="1" t="s">
        <v>8</v>
      </c>
      <c r="C13" s="1" t="s">
        <v>29</v>
      </c>
      <c r="D13" s="1" t="s">
        <v>98</v>
      </c>
      <c r="E13" s="3">
        <v>45993</v>
      </c>
      <c r="F13" s="1">
        <v>15</v>
      </c>
      <c r="G13" s="2">
        <v>4.45</v>
      </c>
      <c r="H13" s="2">
        <f t="shared" si="0"/>
        <v>66.75</v>
      </c>
    </row>
    <row r="14" spans="1:8" x14ac:dyDescent="0.25">
      <c r="A14" s="1">
        <v>13</v>
      </c>
      <c r="B14" s="1" t="s">
        <v>57</v>
      </c>
      <c r="C14" s="1" t="s">
        <v>27</v>
      </c>
      <c r="D14" s="1" t="s">
        <v>30</v>
      </c>
      <c r="E14" s="3">
        <v>46026</v>
      </c>
      <c r="F14" s="1">
        <v>18</v>
      </c>
      <c r="G14" s="2">
        <v>5.8</v>
      </c>
      <c r="H14" s="2">
        <f t="shared" si="0"/>
        <v>104.39999999999999</v>
      </c>
    </row>
    <row r="15" spans="1:8" x14ac:dyDescent="0.25">
      <c r="A15" s="1">
        <v>14</v>
      </c>
      <c r="B15" s="1" t="s">
        <v>57</v>
      </c>
      <c r="C15" s="1" t="s">
        <v>97</v>
      </c>
      <c r="D15" s="1" t="s">
        <v>30</v>
      </c>
      <c r="E15" s="3">
        <v>46055</v>
      </c>
      <c r="F15" s="1">
        <v>5</v>
      </c>
      <c r="G15" s="2">
        <v>6</v>
      </c>
      <c r="H15" s="2">
        <f t="shared" si="0"/>
        <v>30</v>
      </c>
    </row>
    <row r="16" spans="1:8" x14ac:dyDescent="0.25">
      <c r="A16" s="1">
        <v>15</v>
      </c>
      <c r="B16" s="1" t="s">
        <v>57</v>
      </c>
      <c r="C16" s="1" t="s">
        <v>29</v>
      </c>
      <c r="D16" s="1" t="s">
        <v>30</v>
      </c>
      <c r="E16" s="3">
        <v>46068</v>
      </c>
      <c r="F16" s="1">
        <v>12</v>
      </c>
      <c r="G16" s="2">
        <v>4.3</v>
      </c>
      <c r="H16" s="2">
        <f t="shared" si="0"/>
        <v>51.599999999999994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G19" sqref="G19"/>
    </sheetView>
  </sheetViews>
  <sheetFormatPr defaultRowHeight="15" x14ac:dyDescent="0.25"/>
  <cols>
    <col min="1" max="1" width="11.85546875" style="1" bestFit="1" customWidth="1"/>
    <col min="2" max="2" width="9.140625" style="1"/>
    <col min="3" max="3" width="16" style="1" bestFit="1" customWidth="1"/>
    <col min="4" max="4" width="13.140625" style="1" bestFit="1" customWidth="1"/>
    <col min="5" max="5" width="17.28515625" style="1" bestFit="1" customWidth="1"/>
    <col min="6" max="6" width="12.85546875" style="1" bestFit="1" customWidth="1"/>
    <col min="7" max="7" width="16.140625" style="1" bestFit="1" customWidth="1"/>
    <col min="8" max="8" width="12.85546875" style="1" bestFit="1" customWidth="1"/>
  </cols>
  <sheetData>
    <row r="1" spans="1:8" x14ac:dyDescent="0.25">
      <c r="A1" s="1" t="s">
        <v>60</v>
      </c>
      <c r="B1" s="1" t="s">
        <v>0</v>
      </c>
      <c r="C1" s="1" t="s">
        <v>32</v>
      </c>
      <c r="D1" s="1" t="s">
        <v>24</v>
      </c>
      <c r="E1" s="1" t="s">
        <v>21</v>
      </c>
      <c r="F1" s="1" t="s">
        <v>22</v>
      </c>
      <c r="G1" s="1" t="s">
        <v>26</v>
      </c>
      <c r="H1" s="1" t="s">
        <v>38</v>
      </c>
    </row>
    <row r="2" spans="1:8" x14ac:dyDescent="0.25">
      <c r="A2" s="1">
        <v>1</v>
      </c>
      <c r="B2" s="1" t="s">
        <v>4</v>
      </c>
      <c r="C2" s="1" t="s">
        <v>37</v>
      </c>
      <c r="D2" s="1" t="s">
        <v>34</v>
      </c>
      <c r="E2" s="3">
        <v>45690</v>
      </c>
      <c r="F2" s="1">
        <v>25</v>
      </c>
      <c r="G2" s="2">
        <v>3</v>
      </c>
      <c r="H2" s="2">
        <f>G2*F2</f>
        <v>75</v>
      </c>
    </row>
    <row r="3" spans="1:8" x14ac:dyDescent="0.25">
      <c r="A3" s="1">
        <v>2</v>
      </c>
      <c r="B3" s="1" t="s">
        <v>4</v>
      </c>
      <c r="C3" s="1" t="s">
        <v>100</v>
      </c>
      <c r="D3" s="1" t="s">
        <v>34</v>
      </c>
      <c r="E3" s="3">
        <v>45692</v>
      </c>
      <c r="F3" s="1">
        <v>4</v>
      </c>
      <c r="G3" s="2">
        <v>8</v>
      </c>
      <c r="H3" s="2">
        <f t="shared" ref="H3:H15" si="0">G3*F3</f>
        <v>32</v>
      </c>
    </row>
    <row r="4" spans="1:8" x14ac:dyDescent="0.25">
      <c r="A4" s="1">
        <v>3</v>
      </c>
      <c r="B4" s="1" t="s">
        <v>5</v>
      </c>
      <c r="C4" s="1" t="s">
        <v>37</v>
      </c>
      <c r="D4" s="1" t="s">
        <v>34</v>
      </c>
      <c r="E4" s="3">
        <v>45758</v>
      </c>
      <c r="F4" s="1">
        <v>30</v>
      </c>
      <c r="G4" s="2">
        <v>3</v>
      </c>
      <c r="H4" s="2">
        <f t="shared" si="0"/>
        <v>90</v>
      </c>
    </row>
    <row r="5" spans="1:8" x14ac:dyDescent="0.25">
      <c r="A5" s="1">
        <v>4</v>
      </c>
      <c r="B5" s="1" t="s">
        <v>5</v>
      </c>
      <c r="C5" s="1" t="s">
        <v>33</v>
      </c>
      <c r="D5" s="1" t="s">
        <v>36</v>
      </c>
      <c r="E5" s="3">
        <v>45760</v>
      </c>
      <c r="F5" s="1">
        <v>5</v>
      </c>
      <c r="G5" s="2">
        <v>9</v>
      </c>
      <c r="H5" s="2">
        <f t="shared" si="0"/>
        <v>45</v>
      </c>
    </row>
    <row r="6" spans="1:8" x14ac:dyDescent="0.25">
      <c r="A6" s="1">
        <v>5</v>
      </c>
      <c r="B6" s="1" t="s">
        <v>5</v>
      </c>
      <c r="C6" s="1" t="s">
        <v>35</v>
      </c>
      <c r="D6" s="1" t="s">
        <v>34</v>
      </c>
      <c r="E6" s="3">
        <v>45775</v>
      </c>
      <c r="F6" s="1">
        <v>25</v>
      </c>
      <c r="G6" s="2">
        <v>10</v>
      </c>
      <c r="H6" s="2">
        <f t="shared" si="0"/>
        <v>250</v>
      </c>
    </row>
    <row r="7" spans="1:8" x14ac:dyDescent="0.25">
      <c r="A7" s="1">
        <v>6</v>
      </c>
      <c r="B7" s="1" t="s">
        <v>6</v>
      </c>
      <c r="C7" s="1" t="s">
        <v>37</v>
      </c>
      <c r="D7" s="1" t="s">
        <v>36</v>
      </c>
      <c r="E7" s="3">
        <v>45828</v>
      </c>
      <c r="F7" s="1">
        <v>40</v>
      </c>
      <c r="G7" s="2">
        <v>2.9</v>
      </c>
      <c r="H7" s="2">
        <f t="shared" si="0"/>
        <v>116</v>
      </c>
    </row>
    <row r="8" spans="1:8" x14ac:dyDescent="0.25">
      <c r="A8" s="1">
        <v>7</v>
      </c>
      <c r="B8" s="1" t="s">
        <v>6</v>
      </c>
      <c r="C8" s="1" t="s">
        <v>33</v>
      </c>
      <c r="D8" s="1" t="s">
        <v>34</v>
      </c>
      <c r="E8" s="3">
        <v>45828</v>
      </c>
      <c r="F8" s="1">
        <v>35</v>
      </c>
      <c r="G8" s="2">
        <v>6</v>
      </c>
      <c r="H8" s="2">
        <f t="shared" si="0"/>
        <v>210</v>
      </c>
    </row>
    <row r="9" spans="1:8" x14ac:dyDescent="0.25">
      <c r="A9" s="1">
        <v>8</v>
      </c>
      <c r="B9" s="1" t="s">
        <v>7</v>
      </c>
      <c r="C9" s="1" t="s">
        <v>37</v>
      </c>
      <c r="D9" s="1" t="s">
        <v>36</v>
      </c>
      <c r="E9" s="3">
        <v>45899</v>
      </c>
      <c r="F9" s="1">
        <v>25</v>
      </c>
      <c r="G9" s="2">
        <v>2.9</v>
      </c>
      <c r="H9" s="2">
        <f t="shared" si="0"/>
        <v>72.5</v>
      </c>
    </row>
    <row r="10" spans="1:8" x14ac:dyDescent="0.25">
      <c r="A10" s="1">
        <v>9</v>
      </c>
      <c r="B10" s="1" t="s">
        <v>7</v>
      </c>
      <c r="C10" s="1" t="s">
        <v>101</v>
      </c>
      <c r="D10" s="1" t="s">
        <v>34</v>
      </c>
      <c r="E10" s="3">
        <v>45902</v>
      </c>
      <c r="F10" s="1">
        <v>25</v>
      </c>
      <c r="G10" s="2">
        <v>4</v>
      </c>
      <c r="H10" s="2">
        <f t="shared" si="0"/>
        <v>100</v>
      </c>
    </row>
    <row r="11" spans="1:8" x14ac:dyDescent="0.25">
      <c r="A11" s="1">
        <v>10</v>
      </c>
      <c r="B11" s="1" t="s">
        <v>8</v>
      </c>
      <c r="C11" s="1" t="s">
        <v>37</v>
      </c>
      <c r="D11" s="1" t="s">
        <v>99</v>
      </c>
      <c r="E11" s="3">
        <v>45962</v>
      </c>
      <c r="F11" s="1">
        <v>40</v>
      </c>
      <c r="G11" s="2">
        <v>2.8</v>
      </c>
      <c r="H11" s="2">
        <f t="shared" si="0"/>
        <v>112</v>
      </c>
    </row>
    <row r="12" spans="1:8" x14ac:dyDescent="0.25">
      <c r="A12" s="1">
        <v>11</v>
      </c>
      <c r="B12" s="1" t="s">
        <v>8</v>
      </c>
      <c r="C12" s="1" t="s">
        <v>102</v>
      </c>
      <c r="D12" s="1" t="s">
        <v>99</v>
      </c>
      <c r="E12" s="3">
        <v>45966</v>
      </c>
      <c r="F12" s="1">
        <v>37</v>
      </c>
      <c r="G12" s="2">
        <v>5</v>
      </c>
      <c r="H12" s="2">
        <f t="shared" si="0"/>
        <v>185</v>
      </c>
    </row>
    <row r="13" spans="1:8" x14ac:dyDescent="0.25">
      <c r="A13" s="1">
        <v>12</v>
      </c>
      <c r="B13" s="1" t="s">
        <v>57</v>
      </c>
      <c r="C13" s="1" t="s">
        <v>37</v>
      </c>
      <c r="D13" s="1" t="s">
        <v>99</v>
      </c>
      <c r="E13" s="3">
        <v>46027</v>
      </c>
      <c r="F13" s="1">
        <v>55</v>
      </c>
      <c r="G13" s="2">
        <v>2.8</v>
      </c>
      <c r="H13" s="2">
        <f t="shared" si="0"/>
        <v>154</v>
      </c>
    </row>
    <row r="14" spans="1:8" x14ac:dyDescent="0.25">
      <c r="A14" s="1">
        <v>13</v>
      </c>
      <c r="B14" s="1" t="s">
        <v>57</v>
      </c>
      <c r="C14" s="1" t="s">
        <v>33</v>
      </c>
      <c r="D14" s="1" t="s">
        <v>99</v>
      </c>
      <c r="E14" s="3">
        <v>46029</v>
      </c>
      <c r="F14" s="1">
        <v>4</v>
      </c>
      <c r="G14" s="2">
        <v>6</v>
      </c>
      <c r="H14" s="2">
        <f t="shared" si="0"/>
        <v>24</v>
      </c>
    </row>
    <row r="15" spans="1:8" x14ac:dyDescent="0.25">
      <c r="A15" s="1">
        <v>14</v>
      </c>
      <c r="B15" s="1" t="s">
        <v>57</v>
      </c>
      <c r="C15" s="1" t="s">
        <v>33</v>
      </c>
      <c r="D15" s="1" t="s">
        <v>99</v>
      </c>
      <c r="E15" s="3">
        <v>46037</v>
      </c>
      <c r="F15" s="1">
        <v>2</v>
      </c>
      <c r="G15" s="2">
        <v>6</v>
      </c>
      <c r="H15" s="2">
        <f t="shared" si="0"/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E26" sqref="E26"/>
    </sheetView>
  </sheetViews>
  <sheetFormatPr defaultRowHeight="15" x14ac:dyDescent="0.25"/>
  <cols>
    <col min="1" max="1" width="12.28515625" style="1" bestFit="1" customWidth="1"/>
    <col min="2" max="2" width="14.140625" style="1" bestFit="1" customWidth="1"/>
    <col min="3" max="3" width="17.28515625" style="1" bestFit="1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>
        <v>1</v>
      </c>
      <c r="B2" s="1" t="s">
        <v>12</v>
      </c>
      <c r="C2" s="3">
        <v>45690</v>
      </c>
    </row>
    <row r="3" spans="1:3" x14ac:dyDescent="0.25">
      <c r="A3" s="1">
        <v>2</v>
      </c>
      <c r="B3" s="1" t="s">
        <v>13</v>
      </c>
      <c r="C3" s="3">
        <v>45698</v>
      </c>
    </row>
    <row r="4" spans="1:3" x14ac:dyDescent="0.25">
      <c r="A4" s="1">
        <v>3</v>
      </c>
      <c r="B4" s="1" t="s">
        <v>14</v>
      </c>
      <c r="C4" s="3">
        <v>45701</v>
      </c>
    </row>
    <row r="5" spans="1:3" x14ac:dyDescent="0.25">
      <c r="A5" s="1">
        <v>4</v>
      </c>
      <c r="B5" s="1" t="s">
        <v>15</v>
      </c>
      <c r="C5" s="3">
        <v>45717</v>
      </c>
    </row>
    <row r="6" spans="1:3" x14ac:dyDescent="0.25">
      <c r="A6" s="1">
        <v>5</v>
      </c>
      <c r="B6" s="1" t="s">
        <v>16</v>
      </c>
      <c r="C6" s="3">
        <v>45721</v>
      </c>
    </row>
    <row r="7" spans="1:3" x14ac:dyDescent="0.25">
      <c r="A7" s="1">
        <v>6</v>
      </c>
      <c r="B7" s="1" t="s">
        <v>92</v>
      </c>
      <c r="C7" s="3">
        <v>45726</v>
      </c>
    </row>
    <row r="8" spans="1:3" x14ac:dyDescent="0.25">
      <c r="A8" s="1">
        <v>7</v>
      </c>
      <c r="B8" s="1" t="s">
        <v>93</v>
      </c>
      <c r="C8" s="3">
        <v>45732</v>
      </c>
    </row>
    <row r="9" spans="1:3" x14ac:dyDescent="0.25">
      <c r="A9" s="1">
        <v>8</v>
      </c>
      <c r="B9" s="1" t="s">
        <v>94</v>
      </c>
      <c r="C9" s="3">
        <v>45751</v>
      </c>
    </row>
    <row r="10" spans="1:3" x14ac:dyDescent="0.25">
      <c r="A10" s="1">
        <v>9</v>
      </c>
      <c r="B10" s="1" t="s">
        <v>95</v>
      </c>
      <c r="C10" s="3">
        <v>45753</v>
      </c>
    </row>
    <row r="11" spans="1:3" x14ac:dyDescent="0.25">
      <c r="A11" s="1">
        <v>10</v>
      </c>
      <c r="B11" s="1" t="s">
        <v>96</v>
      </c>
      <c r="C11" s="3">
        <v>45790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32" sqref="F32"/>
    </sheetView>
  </sheetViews>
  <sheetFormatPr defaultRowHeight="15" x14ac:dyDescent="0.25"/>
  <cols>
    <col min="1" max="2" width="9.140625" style="1"/>
    <col min="3" max="3" width="12.28515625" style="1" bestFit="1" customWidth="1"/>
    <col min="4" max="4" width="17.28515625" style="1" bestFit="1" customWidth="1"/>
    <col min="5" max="5" width="17.28515625" style="1" customWidth="1"/>
    <col min="6" max="6" width="21.85546875" style="4" bestFit="1" customWidth="1"/>
    <col min="7" max="7" width="16.28515625" style="2" bestFit="1" customWidth="1"/>
    <col min="8" max="8" width="13.140625" style="1" bestFit="1" customWidth="1"/>
  </cols>
  <sheetData>
    <row r="1" spans="1:8" x14ac:dyDescent="0.25">
      <c r="A1" s="1" t="s">
        <v>17</v>
      </c>
      <c r="B1" s="1" t="s">
        <v>0</v>
      </c>
      <c r="C1" s="1" t="s">
        <v>9</v>
      </c>
      <c r="D1" s="1" t="s">
        <v>18</v>
      </c>
      <c r="E1" s="1" t="s">
        <v>41</v>
      </c>
      <c r="F1" s="1" t="s">
        <v>39</v>
      </c>
      <c r="G1" s="1" t="s">
        <v>40</v>
      </c>
      <c r="H1" s="1" t="s">
        <v>19</v>
      </c>
    </row>
    <row r="2" spans="1:8" x14ac:dyDescent="0.25">
      <c r="A2" s="1">
        <v>1</v>
      </c>
      <c r="B2" s="1" t="s">
        <v>4</v>
      </c>
      <c r="C2" s="1">
        <v>1</v>
      </c>
      <c r="D2" s="3">
        <v>45750</v>
      </c>
      <c r="E2" s="3" t="s">
        <v>42</v>
      </c>
      <c r="F2" s="4">
        <v>5</v>
      </c>
      <c r="G2" s="2">
        <f t="shared" ref="G2:G25" si="0">IF(E2="MORTO",65,IF(E2="VIVO",50,"ERRADO"))</f>
        <v>50</v>
      </c>
      <c r="H2" s="2">
        <f>F2*G2</f>
        <v>250</v>
      </c>
    </row>
    <row r="3" spans="1:8" x14ac:dyDescent="0.25">
      <c r="A3" s="1">
        <v>2</v>
      </c>
      <c r="B3" s="1" t="s">
        <v>4</v>
      </c>
      <c r="C3" s="1">
        <v>2</v>
      </c>
      <c r="D3" s="3">
        <v>45751</v>
      </c>
      <c r="E3" s="3" t="s">
        <v>42</v>
      </c>
      <c r="F3" s="4">
        <v>5</v>
      </c>
      <c r="G3" s="2">
        <f t="shared" si="0"/>
        <v>50</v>
      </c>
      <c r="H3" s="2">
        <f t="shared" ref="H3:H25" si="1">F3*G3</f>
        <v>250</v>
      </c>
    </row>
    <row r="4" spans="1:8" x14ac:dyDescent="0.25">
      <c r="A4" s="1">
        <v>3</v>
      </c>
      <c r="B4" s="1" t="s">
        <v>4</v>
      </c>
      <c r="C4" s="1">
        <v>3</v>
      </c>
      <c r="D4" s="3">
        <v>45752</v>
      </c>
      <c r="E4" s="3" t="s">
        <v>43</v>
      </c>
      <c r="F4" s="4">
        <v>2</v>
      </c>
      <c r="G4" s="2">
        <f t="shared" si="0"/>
        <v>65</v>
      </c>
      <c r="H4" s="2">
        <f t="shared" si="1"/>
        <v>130</v>
      </c>
    </row>
    <row r="5" spans="1:8" x14ac:dyDescent="0.25">
      <c r="A5" s="1">
        <v>4</v>
      </c>
      <c r="B5" s="1" t="s">
        <v>4</v>
      </c>
      <c r="C5" s="1">
        <v>4</v>
      </c>
      <c r="D5" s="3">
        <v>45752</v>
      </c>
      <c r="E5" s="3" t="s">
        <v>42</v>
      </c>
      <c r="F5" s="4">
        <v>8</v>
      </c>
      <c r="G5" s="2">
        <f t="shared" si="0"/>
        <v>50</v>
      </c>
      <c r="H5" s="2">
        <f t="shared" si="1"/>
        <v>400</v>
      </c>
    </row>
    <row r="6" spans="1:8" x14ac:dyDescent="0.25">
      <c r="A6" s="1">
        <v>5</v>
      </c>
      <c r="B6" s="1" t="s">
        <v>5</v>
      </c>
      <c r="C6" s="1">
        <v>1</v>
      </c>
      <c r="D6" s="3">
        <v>45816</v>
      </c>
      <c r="E6" s="3" t="s">
        <v>43</v>
      </c>
      <c r="F6" s="4">
        <v>4</v>
      </c>
      <c r="G6" s="2">
        <f t="shared" si="0"/>
        <v>65</v>
      </c>
      <c r="H6" s="2">
        <f t="shared" si="1"/>
        <v>260</v>
      </c>
    </row>
    <row r="7" spans="1:8" x14ac:dyDescent="0.25">
      <c r="A7" s="1">
        <v>6</v>
      </c>
      <c r="B7" s="1" t="s">
        <v>5</v>
      </c>
      <c r="C7" s="1">
        <v>2</v>
      </c>
      <c r="D7" s="3">
        <v>45816</v>
      </c>
      <c r="E7" s="3" t="s">
        <v>43</v>
      </c>
      <c r="F7" s="4">
        <v>4</v>
      </c>
      <c r="G7" s="2">
        <f t="shared" si="0"/>
        <v>65</v>
      </c>
      <c r="H7" s="2">
        <f t="shared" si="1"/>
        <v>260</v>
      </c>
    </row>
    <row r="8" spans="1:8" x14ac:dyDescent="0.25">
      <c r="A8" s="1">
        <v>7</v>
      </c>
      <c r="B8" s="1" t="s">
        <v>5</v>
      </c>
      <c r="C8" s="1">
        <v>3</v>
      </c>
      <c r="D8" s="3">
        <v>45817</v>
      </c>
      <c r="E8" s="3" t="s">
        <v>43</v>
      </c>
      <c r="F8" s="4">
        <v>8</v>
      </c>
      <c r="G8" s="2">
        <f t="shared" si="0"/>
        <v>65</v>
      </c>
      <c r="H8" s="2">
        <f t="shared" si="1"/>
        <v>520</v>
      </c>
    </row>
    <row r="9" spans="1:8" x14ac:dyDescent="0.25">
      <c r="A9" s="1">
        <v>8</v>
      </c>
      <c r="B9" s="1" t="s">
        <v>5</v>
      </c>
      <c r="C9" s="1">
        <v>4</v>
      </c>
      <c r="D9" s="3">
        <v>45817</v>
      </c>
      <c r="E9" s="3" t="s">
        <v>43</v>
      </c>
      <c r="F9" s="4">
        <v>4</v>
      </c>
      <c r="G9" s="2">
        <f t="shared" si="0"/>
        <v>65</v>
      </c>
      <c r="H9" s="2">
        <f t="shared" si="1"/>
        <v>260</v>
      </c>
    </row>
    <row r="10" spans="1:8" x14ac:dyDescent="0.25">
      <c r="A10" s="1">
        <v>9</v>
      </c>
      <c r="B10" s="1" t="s">
        <v>5</v>
      </c>
      <c r="C10" s="1">
        <v>5</v>
      </c>
      <c r="D10" s="3">
        <v>45818</v>
      </c>
      <c r="E10" s="3" t="s">
        <v>43</v>
      </c>
      <c r="F10" s="4">
        <v>2</v>
      </c>
      <c r="G10" s="2">
        <f t="shared" si="0"/>
        <v>65</v>
      </c>
      <c r="H10" s="2">
        <f t="shared" si="1"/>
        <v>130</v>
      </c>
    </row>
    <row r="11" spans="1:8" x14ac:dyDescent="0.25">
      <c r="A11" s="1">
        <v>10</v>
      </c>
      <c r="B11" s="1" t="s">
        <v>5</v>
      </c>
      <c r="C11" s="1">
        <v>7</v>
      </c>
      <c r="D11" s="3">
        <v>45818</v>
      </c>
      <c r="E11" s="3" t="s">
        <v>42</v>
      </c>
      <c r="F11" s="4">
        <v>2</v>
      </c>
      <c r="G11" s="2">
        <f t="shared" si="0"/>
        <v>50</v>
      </c>
      <c r="H11" s="2">
        <f t="shared" si="1"/>
        <v>100</v>
      </c>
    </row>
    <row r="12" spans="1:8" x14ac:dyDescent="0.25">
      <c r="A12" s="1">
        <v>11</v>
      </c>
      <c r="B12" s="1" t="s">
        <v>6</v>
      </c>
      <c r="C12" s="1">
        <v>8</v>
      </c>
      <c r="D12" s="3">
        <v>45886</v>
      </c>
      <c r="E12" s="1" t="s">
        <v>42</v>
      </c>
      <c r="F12" s="4">
        <v>5</v>
      </c>
      <c r="G12" s="2">
        <f t="shared" si="0"/>
        <v>50</v>
      </c>
      <c r="H12" s="2">
        <f t="shared" si="1"/>
        <v>250</v>
      </c>
    </row>
    <row r="13" spans="1:8" x14ac:dyDescent="0.25">
      <c r="A13" s="1">
        <v>12</v>
      </c>
      <c r="B13" s="1" t="s">
        <v>6</v>
      </c>
      <c r="C13" s="1">
        <v>9</v>
      </c>
      <c r="D13" s="3">
        <v>45886</v>
      </c>
      <c r="E13" s="1" t="s">
        <v>42</v>
      </c>
      <c r="F13" s="4">
        <v>10</v>
      </c>
      <c r="G13" s="2">
        <f t="shared" si="0"/>
        <v>50</v>
      </c>
      <c r="H13" s="2">
        <f t="shared" si="1"/>
        <v>500</v>
      </c>
    </row>
    <row r="14" spans="1:8" x14ac:dyDescent="0.25">
      <c r="A14" s="1">
        <v>13</v>
      </c>
      <c r="B14" s="1" t="s">
        <v>6</v>
      </c>
      <c r="C14" s="1">
        <v>10</v>
      </c>
      <c r="D14" s="3">
        <v>45887</v>
      </c>
      <c r="E14" s="1" t="s">
        <v>42</v>
      </c>
      <c r="F14" s="4">
        <v>10</v>
      </c>
      <c r="G14" s="2">
        <f t="shared" si="0"/>
        <v>50</v>
      </c>
      <c r="H14" s="2">
        <f t="shared" si="1"/>
        <v>500</v>
      </c>
    </row>
    <row r="15" spans="1:8" x14ac:dyDescent="0.25">
      <c r="A15" s="1">
        <v>14</v>
      </c>
      <c r="B15" s="1" t="s">
        <v>6</v>
      </c>
      <c r="C15" s="1">
        <v>1</v>
      </c>
      <c r="D15" s="3">
        <v>45889</v>
      </c>
      <c r="E15" s="1" t="s">
        <v>43</v>
      </c>
      <c r="F15" s="4">
        <v>10</v>
      </c>
      <c r="G15" s="2">
        <f t="shared" si="0"/>
        <v>65</v>
      </c>
      <c r="H15" s="2">
        <f t="shared" si="1"/>
        <v>650</v>
      </c>
    </row>
    <row r="16" spans="1:8" x14ac:dyDescent="0.25">
      <c r="A16" s="1">
        <v>15</v>
      </c>
      <c r="B16" s="1" t="s">
        <v>7</v>
      </c>
      <c r="C16" s="1">
        <v>2</v>
      </c>
      <c r="D16" s="3">
        <v>45957</v>
      </c>
      <c r="E16" s="1" t="s">
        <v>42</v>
      </c>
      <c r="F16" s="4">
        <v>2</v>
      </c>
      <c r="G16" s="2">
        <f t="shared" si="0"/>
        <v>50</v>
      </c>
      <c r="H16" s="2">
        <f t="shared" si="1"/>
        <v>100</v>
      </c>
    </row>
    <row r="17" spans="1:8" x14ac:dyDescent="0.25">
      <c r="A17" s="1">
        <v>16</v>
      </c>
      <c r="B17" s="1" t="s">
        <v>7</v>
      </c>
      <c r="C17" s="1">
        <v>4</v>
      </c>
      <c r="D17" s="3">
        <v>45959</v>
      </c>
      <c r="E17" s="1" t="s">
        <v>43</v>
      </c>
      <c r="F17" s="4">
        <v>10</v>
      </c>
      <c r="G17" s="2">
        <f t="shared" si="0"/>
        <v>65</v>
      </c>
      <c r="H17" s="2">
        <f t="shared" si="1"/>
        <v>650</v>
      </c>
    </row>
    <row r="18" spans="1:8" x14ac:dyDescent="0.25">
      <c r="A18" s="1">
        <v>17</v>
      </c>
      <c r="B18" s="1" t="s">
        <v>7</v>
      </c>
      <c r="C18" s="1">
        <v>5</v>
      </c>
      <c r="D18" s="3">
        <v>45960</v>
      </c>
      <c r="E18" s="1" t="s">
        <v>43</v>
      </c>
      <c r="F18" s="4">
        <v>10</v>
      </c>
      <c r="G18" s="2">
        <f t="shared" si="0"/>
        <v>65</v>
      </c>
      <c r="H18" s="2">
        <f t="shared" si="1"/>
        <v>650</v>
      </c>
    </row>
    <row r="19" spans="1:8" x14ac:dyDescent="0.25">
      <c r="A19" s="1">
        <v>18</v>
      </c>
      <c r="B19" s="1" t="s">
        <v>8</v>
      </c>
      <c r="C19" s="1">
        <v>6</v>
      </c>
      <c r="D19" s="3">
        <v>46025</v>
      </c>
      <c r="E19" s="1" t="s">
        <v>43</v>
      </c>
      <c r="F19" s="4">
        <v>7</v>
      </c>
      <c r="G19" s="2">
        <f t="shared" si="0"/>
        <v>65</v>
      </c>
      <c r="H19" s="2">
        <f t="shared" si="1"/>
        <v>455</v>
      </c>
    </row>
    <row r="20" spans="1:8" x14ac:dyDescent="0.25">
      <c r="A20" s="1">
        <v>19</v>
      </c>
      <c r="B20" s="1" t="s">
        <v>8</v>
      </c>
      <c r="C20" s="1">
        <v>7</v>
      </c>
      <c r="D20" s="3">
        <v>46026</v>
      </c>
      <c r="E20" s="1" t="s">
        <v>42</v>
      </c>
      <c r="F20" s="4">
        <v>14</v>
      </c>
      <c r="G20" s="2">
        <f t="shared" si="0"/>
        <v>50</v>
      </c>
      <c r="H20" s="2">
        <f t="shared" si="1"/>
        <v>700</v>
      </c>
    </row>
    <row r="21" spans="1:8" x14ac:dyDescent="0.25">
      <c r="A21" s="1">
        <v>20</v>
      </c>
      <c r="B21" s="1" t="s">
        <v>8</v>
      </c>
      <c r="C21" s="1">
        <v>8</v>
      </c>
      <c r="D21" s="3">
        <v>46026</v>
      </c>
      <c r="E21" s="1" t="s">
        <v>42</v>
      </c>
      <c r="F21" s="4">
        <v>16</v>
      </c>
      <c r="G21" s="2">
        <f t="shared" si="0"/>
        <v>50</v>
      </c>
      <c r="H21" s="2">
        <f t="shared" si="1"/>
        <v>800</v>
      </c>
    </row>
    <row r="22" spans="1:8" x14ac:dyDescent="0.25">
      <c r="A22" s="1">
        <v>21</v>
      </c>
      <c r="B22" s="1" t="s">
        <v>57</v>
      </c>
      <c r="C22" s="1">
        <v>1</v>
      </c>
      <c r="D22" s="3">
        <v>46085</v>
      </c>
      <c r="E22" s="1" t="s">
        <v>42</v>
      </c>
      <c r="F22" s="4">
        <v>10</v>
      </c>
      <c r="G22" s="2">
        <f t="shared" si="0"/>
        <v>50</v>
      </c>
      <c r="H22" s="2">
        <f t="shared" si="1"/>
        <v>500</v>
      </c>
    </row>
    <row r="23" spans="1:8" x14ac:dyDescent="0.25">
      <c r="A23" s="1">
        <v>22</v>
      </c>
      <c r="B23" s="1" t="s">
        <v>57</v>
      </c>
      <c r="C23" s="1">
        <v>2</v>
      </c>
      <c r="D23" s="3">
        <v>46085</v>
      </c>
      <c r="E23" s="1" t="s">
        <v>42</v>
      </c>
      <c r="F23" s="4">
        <v>15</v>
      </c>
      <c r="G23" s="2">
        <f t="shared" si="0"/>
        <v>50</v>
      </c>
      <c r="H23" s="2">
        <f t="shared" si="1"/>
        <v>750</v>
      </c>
    </row>
    <row r="24" spans="1:8" x14ac:dyDescent="0.25">
      <c r="A24" s="1">
        <v>23</v>
      </c>
      <c r="B24" s="1" t="s">
        <v>57</v>
      </c>
      <c r="C24" s="1">
        <v>3</v>
      </c>
      <c r="D24" s="3">
        <v>46086</v>
      </c>
      <c r="E24" s="1" t="s">
        <v>43</v>
      </c>
      <c r="F24" s="4">
        <v>10</v>
      </c>
      <c r="G24" s="2">
        <f t="shared" si="0"/>
        <v>65</v>
      </c>
      <c r="H24" s="2">
        <f t="shared" si="1"/>
        <v>650</v>
      </c>
    </row>
    <row r="25" spans="1:8" x14ac:dyDescent="0.25">
      <c r="A25" s="1">
        <v>24</v>
      </c>
      <c r="B25" s="1" t="s">
        <v>57</v>
      </c>
      <c r="C25" s="1">
        <v>9</v>
      </c>
      <c r="D25" s="3">
        <v>46086</v>
      </c>
      <c r="E25" s="1" t="s">
        <v>43</v>
      </c>
      <c r="F25" s="4">
        <v>15</v>
      </c>
      <c r="G25" s="2">
        <f t="shared" si="0"/>
        <v>65</v>
      </c>
      <c r="H25" s="2">
        <f t="shared" si="1"/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Lote</vt:lpstr>
      <vt:lpstr>Peso</vt:lpstr>
      <vt:lpstr>Mortalidade</vt:lpstr>
      <vt:lpstr>Racao</vt:lpstr>
      <vt:lpstr>Medicacao</vt:lpstr>
      <vt:lpstr>Cliente</vt:lpstr>
      <vt:lpstr>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joao.marcos.dasilva@outlook.com</cp:lastModifiedBy>
  <dcterms:created xsi:type="dcterms:W3CDTF">2026-02-23T01:42:53Z</dcterms:created>
  <dcterms:modified xsi:type="dcterms:W3CDTF">2026-03-12T19:02:45Z</dcterms:modified>
</cp:coreProperties>
</file>