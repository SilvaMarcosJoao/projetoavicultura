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joaom\Downloads\"/>
    </mc:Choice>
  </mc:AlternateContent>
  <bookViews>
    <workbookView xWindow="0" yWindow="0" windowWidth="28800" windowHeight="12210"/>
  </bookViews>
  <sheets>
    <sheet name="Lote" sheetId="1" r:id="rId1"/>
    <sheet name="Peso" sheetId="8" r:id="rId2"/>
    <sheet name="Cliente" sheetId="2" r:id="rId3"/>
    <sheet name="Venda" sheetId="3" r:id="rId4"/>
    <sheet name="Mortalidade" sheetId="4" r:id="rId5"/>
    <sheet name="Racao" sheetId="5" r:id="rId6"/>
    <sheet name="Medicacao" sheetId="6" r:id="rId7"/>
  </sheets>
  <calcPr calcId="162913"/>
</workbook>
</file>

<file path=xl/calcChain.xml><?xml version="1.0" encoding="utf-8"?>
<calcChain xmlns="http://schemas.openxmlformats.org/spreadsheetml/2006/main">
  <c r="I3" i="3" l="1"/>
  <c r="I4" i="3"/>
  <c r="I5" i="3"/>
  <c r="I6" i="3"/>
  <c r="I7" i="3"/>
  <c r="I8" i="3"/>
  <c r="I9" i="3"/>
  <c r="I10" i="3"/>
  <c r="I11" i="3"/>
  <c r="I2" i="3"/>
  <c r="H3" i="5"/>
  <c r="H4" i="5"/>
  <c r="H5" i="5"/>
  <c r="H6" i="5"/>
  <c r="H7" i="5"/>
  <c r="H8" i="5"/>
  <c r="H9" i="5"/>
  <c r="H10" i="5"/>
  <c r="H11" i="5"/>
  <c r="H2" i="5"/>
  <c r="H3" i="6"/>
  <c r="H4" i="6"/>
  <c r="H5" i="6"/>
  <c r="H6" i="6"/>
  <c r="H7" i="6"/>
  <c r="H8" i="6"/>
  <c r="H9" i="6"/>
  <c r="H10" i="6"/>
  <c r="H11" i="6"/>
  <c r="H2" i="6"/>
</calcChain>
</file>

<file path=xl/sharedStrings.xml><?xml version="1.0" encoding="utf-8"?>
<sst xmlns="http://schemas.openxmlformats.org/spreadsheetml/2006/main" count="153" uniqueCount="53">
  <si>
    <t>ID LOTE</t>
  </si>
  <si>
    <t>DATA ENTRADA</t>
  </si>
  <si>
    <t>DATA SAIDA</t>
  </si>
  <si>
    <t>QUANTIDADE INICIAL</t>
  </si>
  <si>
    <t>L001</t>
  </si>
  <si>
    <t>L002</t>
  </si>
  <si>
    <t>L003</t>
  </si>
  <si>
    <t>L004</t>
  </si>
  <si>
    <t>L005</t>
  </si>
  <si>
    <t>COD CLIENTE</t>
  </si>
  <si>
    <t>NOME CLIENTE</t>
  </si>
  <si>
    <t>DATA CADASTRO</t>
  </si>
  <si>
    <t>Cliente 1</t>
  </si>
  <si>
    <t>Cliente 2</t>
  </si>
  <si>
    <t>Cliente 3</t>
  </si>
  <si>
    <t>Cliente 4</t>
  </si>
  <si>
    <t>Cliente 5</t>
  </si>
  <si>
    <t>ID VENDA</t>
  </si>
  <si>
    <t>DATA VENDA</t>
  </si>
  <si>
    <t>VALOR TOTAL</t>
  </si>
  <si>
    <t>ID REGISTRO</t>
  </si>
  <si>
    <t>DATA</t>
  </si>
  <si>
    <t>QUANTIDADE</t>
  </si>
  <si>
    <t>TIPO RACAO</t>
  </si>
  <si>
    <t>FORNECEDOR</t>
  </si>
  <si>
    <t>QUANTIDADE KG</t>
  </si>
  <si>
    <t>CUSTO UNITARIO</t>
  </si>
  <si>
    <t>Inicial</t>
  </si>
  <si>
    <t>Fornecedor C</t>
  </si>
  <si>
    <t>Final</t>
  </si>
  <si>
    <t>Fornecedor B</t>
  </si>
  <si>
    <t>Fornecedor A</t>
  </si>
  <si>
    <t>Crescimento</t>
  </si>
  <si>
    <t>MEDICACAO</t>
  </si>
  <si>
    <t>Antibiotico B</t>
  </si>
  <si>
    <t>Fornecedor Y</t>
  </si>
  <si>
    <t>Suplemento C</t>
  </si>
  <si>
    <t>Fornecedor X</t>
  </si>
  <si>
    <t>Vacina A</t>
  </si>
  <si>
    <t>CUSTO TOTAL</t>
  </si>
  <si>
    <t>QUANTIDADE VENDIDA</t>
  </si>
  <si>
    <t>VALOR UNITÁRIO</t>
  </si>
  <si>
    <t>TIPO VENDA</t>
  </si>
  <si>
    <t>VIVO</t>
  </si>
  <si>
    <t>MORTO</t>
  </si>
  <si>
    <t>DATA PESAGEM</t>
  </si>
  <si>
    <t>IDADE (DIAS)</t>
  </si>
  <si>
    <t>PESO MÉDIO</t>
  </si>
  <si>
    <t>QTD AMOSTRA</t>
  </si>
  <si>
    <t>PESO MÉDIO (KG)</t>
  </si>
  <si>
    <t>FORN H</t>
  </si>
  <si>
    <t>FORN G</t>
  </si>
  <si>
    <t>FORN 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</si>
</sst>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-&quot;R$&quot;\ * #,##0.00_-;\-&quot;R$&quot;\ * #,##0.0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">
    <xf numFmtId="0" fontId="0" fillId="0" borderId="0" xfId="0"/>
    <xf numFmtId="44" fontId="0" fillId="0" borderId="0" xfId="1" applyFont="1"/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/>
    <xf numFmtId="2" fontId="0" fillId="0" borderId="0" xfId="0" applyNumberFormat="1"/>
    <xf numFmtId="1" fontId="0" fillId="0" borderId="0" xfId="0" applyNumberFormat="1" applyAlignment="1">
      <alignment horizontal="center" vertical="center"/>
    </xf>
    <xf numFmtId="1" fontId="0" fillId="0" borderId="0" xfId="0" applyNumberFormat="1"/>
    <xf numFmtId="49" fontId="0" fillId="0" borderId="0" xfId="0" applyNumberForma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tabSelected="1" workbookViewId="0">
      <selection activeCell="B2" sqref="B2:B1048576"/>
    </sheetView>
  </sheetViews>
  <sheetFormatPr defaultRowHeight="15" x14ac:dyDescent="0.25"/>
  <cols>
    <col min="2" max="2" width="13.140625" style="9" bestFit="1" customWidth="1"/>
    <col min="3" max="4" width="17.28515625" bestFit="1" customWidth="1"/>
    <col min="5" max="5" width="20" bestFit="1" customWidth="1"/>
  </cols>
  <sheetData>
    <row r="1" spans="1:5" x14ac:dyDescent="0.25">
      <c r="A1" s="2" t="s">
        <v>0</v>
      </c>
      <c r="B1" s="2" t="s">
        <v>24</v>
      </c>
      <c r="C1" s="2" t="s">
        <v>1</v>
      </c>
      <c r="D1" s="2" t="s">
        <v>2</v>
      </c>
      <c r="E1" s="2" t="s">
        <v>3</v>
      </c>
    </row>
    <row r="2" spans="1:5" x14ac:dyDescent="0.25">
      <c r="A2" t="s">
        <v>4</v>
      </c>
      <c r="B2" s="9" t="s">
        <v>50</v>
      </c>
      <c r="C2" s="4">
        <v>45668</v>
      </c>
      <c r="D2" s="4">
        <v>45713</v>
      </c>
      <c r="E2">
        <v>989</v>
      </c>
    </row>
    <row r="3" spans="1:5" x14ac:dyDescent="0.25">
      <c r="A3" t="s">
        <v>5</v>
      </c>
      <c r="B3" s="9" t="s">
        <v>50</v>
      </c>
      <c r="C3" s="4">
        <v>45678</v>
      </c>
      <c r="D3" s="4">
        <v>45723</v>
      </c>
      <c r="E3">
        <v>804</v>
      </c>
    </row>
    <row r="4" spans="1:5" x14ac:dyDescent="0.25">
      <c r="A4" t="s">
        <v>6</v>
      </c>
      <c r="B4" s="9" t="s">
        <v>50</v>
      </c>
      <c r="C4" s="4">
        <v>45688</v>
      </c>
      <c r="D4" s="4">
        <v>45733</v>
      </c>
      <c r="E4">
        <v>1003</v>
      </c>
    </row>
    <row r="5" spans="1:5" x14ac:dyDescent="0.25">
      <c r="A5" t="s">
        <v>7</v>
      </c>
      <c r="B5" s="9" t="s">
        <v>51</v>
      </c>
      <c r="C5" s="4">
        <v>45698</v>
      </c>
      <c r="D5" s="4">
        <v>45743</v>
      </c>
      <c r="E5">
        <v>1032</v>
      </c>
    </row>
    <row r="6" spans="1:5" x14ac:dyDescent="0.25">
      <c r="A6" t="s">
        <v>8</v>
      </c>
      <c r="B6" s="9" t="s">
        <v>52</v>
      </c>
      <c r="C6" s="4">
        <v>45708</v>
      </c>
      <c r="D6" s="4">
        <v>45753</v>
      </c>
      <c r="E6">
        <v>927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selection activeCell="F2" sqref="F2:F1048576"/>
    </sheetView>
  </sheetViews>
  <sheetFormatPr defaultRowHeight="15" x14ac:dyDescent="0.25"/>
  <cols>
    <col min="1" max="1" width="9.140625" style="9"/>
    <col min="2" max="2" width="11.85546875" style="9" bestFit="1" customWidth="1"/>
    <col min="3" max="3" width="14.85546875" style="5" bestFit="1" customWidth="1"/>
    <col min="4" max="4" width="12.42578125" style="6" bestFit="1" customWidth="1"/>
    <col min="5" max="5" width="12" style="6" bestFit="1" customWidth="1"/>
    <col min="6" max="6" width="14.140625" style="6" bestFit="1" customWidth="1"/>
  </cols>
  <sheetData>
    <row r="1" spans="1:6" x14ac:dyDescent="0.25">
      <c r="A1" t="s">
        <v>0</v>
      </c>
      <c r="B1" t="s">
        <v>20</v>
      </c>
      <c r="C1" t="s">
        <v>45</v>
      </c>
      <c r="D1" t="s">
        <v>46</v>
      </c>
      <c r="E1" t="s">
        <v>47</v>
      </c>
      <c r="F1" t="s">
        <v>48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C2" sqref="C2:C6"/>
    </sheetView>
  </sheetViews>
  <sheetFormatPr defaultRowHeight="15" x14ac:dyDescent="0.25"/>
  <cols>
    <col min="1" max="1" width="12.28515625" bestFit="1" customWidth="1"/>
    <col min="2" max="2" width="14.140625" bestFit="1" customWidth="1"/>
    <col min="3" max="3" width="17.28515625" bestFit="1" customWidth="1"/>
  </cols>
  <sheetData>
    <row r="1" spans="1:3" x14ac:dyDescent="0.25">
      <c r="A1" s="2" t="s">
        <v>9</v>
      </c>
      <c r="B1" s="2" t="s">
        <v>10</v>
      </c>
      <c r="C1" s="2" t="s">
        <v>11</v>
      </c>
    </row>
    <row r="2" spans="1:3" x14ac:dyDescent="0.25">
      <c r="A2" s="2">
        <v>1</v>
      </c>
      <c r="B2" s="2" t="s">
        <v>12</v>
      </c>
      <c r="C2" s="4">
        <v>45407</v>
      </c>
    </row>
    <row r="3" spans="1:3" x14ac:dyDescent="0.25">
      <c r="A3" s="2">
        <v>2</v>
      </c>
      <c r="B3" s="2" t="s">
        <v>13</v>
      </c>
      <c r="C3" s="4">
        <v>45548</v>
      </c>
    </row>
    <row r="4" spans="1:3" x14ac:dyDescent="0.25">
      <c r="A4" s="2">
        <v>3</v>
      </c>
      <c r="B4" s="2" t="s">
        <v>14</v>
      </c>
      <c r="C4" s="4">
        <v>45600</v>
      </c>
    </row>
    <row r="5" spans="1:3" x14ac:dyDescent="0.25">
      <c r="A5" s="2">
        <v>4</v>
      </c>
      <c r="B5" s="2" t="s">
        <v>15</v>
      </c>
      <c r="C5" s="4">
        <v>45356</v>
      </c>
    </row>
    <row r="6" spans="1:3" x14ac:dyDescent="0.25">
      <c r="A6" s="2">
        <v>5</v>
      </c>
      <c r="B6" s="2" t="s">
        <v>16</v>
      </c>
      <c r="C6" s="4">
        <v>45432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workbookViewId="0">
      <selection activeCell="F11" sqref="F11"/>
    </sheetView>
  </sheetViews>
  <sheetFormatPr defaultRowHeight="15" x14ac:dyDescent="0.25"/>
  <cols>
    <col min="3" max="3" width="12.28515625" bestFit="1" customWidth="1"/>
    <col min="4" max="4" width="17.28515625" bestFit="1" customWidth="1"/>
    <col min="5" max="5" width="17.28515625" customWidth="1"/>
    <col min="6" max="6" width="16.42578125" style="8" bestFit="1" customWidth="1"/>
    <col min="7" max="7" width="21.85546875" style="8" bestFit="1" customWidth="1"/>
    <col min="8" max="8" width="16.28515625" style="1" bestFit="1" customWidth="1"/>
    <col min="9" max="9" width="13.140625" bestFit="1" customWidth="1"/>
  </cols>
  <sheetData>
    <row r="1" spans="1:9" x14ac:dyDescent="0.25">
      <c r="A1" t="s">
        <v>17</v>
      </c>
      <c r="B1" t="s">
        <v>0</v>
      </c>
      <c r="C1" t="s">
        <v>9</v>
      </c>
      <c r="D1" t="s">
        <v>18</v>
      </c>
      <c r="E1" t="s">
        <v>42</v>
      </c>
      <c r="F1" t="s">
        <v>49</v>
      </c>
      <c r="G1" t="s">
        <v>40</v>
      </c>
      <c r="H1" t="s">
        <v>41</v>
      </c>
      <c r="I1" t="s">
        <v>19</v>
      </c>
    </row>
    <row r="2" spans="1:9" x14ac:dyDescent="0.25">
      <c r="A2" s="2">
        <v>1</v>
      </c>
      <c r="B2" s="2" t="s">
        <v>7</v>
      </c>
      <c r="C2" s="2">
        <v>2</v>
      </c>
      <c r="D2" s="4">
        <v>45739</v>
      </c>
      <c r="E2" s="4" t="s">
        <v>43</v>
      </c>
      <c r="F2" s="7">
        <v>2</v>
      </c>
      <c r="G2" s="7">
        <v>2</v>
      </c>
      <c r="H2" s="3">
        <v>50</v>
      </c>
      <c r="I2" s="3">
        <f>G2*H2</f>
        <v>100</v>
      </c>
    </row>
    <row r="3" spans="1:9" x14ac:dyDescent="0.25">
      <c r="A3" s="2">
        <v>2</v>
      </c>
      <c r="B3" s="2" t="s">
        <v>4</v>
      </c>
      <c r="C3" s="2">
        <v>2</v>
      </c>
      <c r="D3" s="4">
        <v>45870</v>
      </c>
      <c r="E3" s="4" t="s">
        <v>43</v>
      </c>
      <c r="F3" s="7">
        <v>3</v>
      </c>
      <c r="G3" s="7">
        <v>4</v>
      </c>
      <c r="H3" s="3">
        <v>50</v>
      </c>
      <c r="I3" s="3">
        <f t="shared" ref="I3:I11" si="0">G3*H3</f>
        <v>200</v>
      </c>
    </row>
    <row r="4" spans="1:9" x14ac:dyDescent="0.25">
      <c r="A4" s="2">
        <v>3</v>
      </c>
      <c r="B4" s="2" t="s">
        <v>4</v>
      </c>
      <c r="C4" s="2">
        <v>4</v>
      </c>
      <c r="D4" s="4">
        <v>45790</v>
      </c>
      <c r="E4" s="4" t="s">
        <v>43</v>
      </c>
      <c r="F4" s="7">
        <v>4</v>
      </c>
      <c r="G4" s="7">
        <v>6</v>
      </c>
      <c r="H4" s="3">
        <v>50</v>
      </c>
      <c r="I4" s="3">
        <f t="shared" si="0"/>
        <v>300</v>
      </c>
    </row>
    <row r="5" spans="1:9" x14ac:dyDescent="0.25">
      <c r="A5" s="2">
        <v>4</v>
      </c>
      <c r="B5" s="2" t="s">
        <v>8</v>
      </c>
      <c r="C5" s="2">
        <v>4</v>
      </c>
      <c r="D5" s="4">
        <v>45736</v>
      </c>
      <c r="E5" s="4" t="s">
        <v>43</v>
      </c>
      <c r="F5" s="7">
        <v>2</v>
      </c>
      <c r="G5" s="7">
        <v>8</v>
      </c>
      <c r="H5" s="3">
        <v>50</v>
      </c>
      <c r="I5" s="3">
        <f t="shared" si="0"/>
        <v>400</v>
      </c>
    </row>
    <row r="6" spans="1:9" x14ac:dyDescent="0.25">
      <c r="A6" s="2">
        <v>5</v>
      </c>
      <c r="B6" s="2" t="s">
        <v>4</v>
      </c>
      <c r="C6" s="2">
        <v>3</v>
      </c>
      <c r="D6" s="4">
        <v>45759</v>
      </c>
      <c r="E6" s="4" t="s">
        <v>44</v>
      </c>
      <c r="F6" s="7">
        <v>6</v>
      </c>
      <c r="G6" s="7">
        <v>10</v>
      </c>
      <c r="H6" s="3">
        <v>60</v>
      </c>
      <c r="I6" s="3">
        <f t="shared" si="0"/>
        <v>600</v>
      </c>
    </row>
    <row r="7" spans="1:9" x14ac:dyDescent="0.25">
      <c r="A7" s="2">
        <v>6</v>
      </c>
      <c r="B7" s="2" t="s">
        <v>8</v>
      </c>
      <c r="C7" s="2">
        <v>2</v>
      </c>
      <c r="D7" s="4">
        <v>45816</v>
      </c>
      <c r="E7" s="4" t="s">
        <v>44</v>
      </c>
      <c r="F7" s="7">
        <v>2</v>
      </c>
      <c r="G7" s="7">
        <v>12</v>
      </c>
      <c r="H7" s="3">
        <v>60</v>
      </c>
      <c r="I7" s="3">
        <f t="shared" si="0"/>
        <v>720</v>
      </c>
    </row>
    <row r="8" spans="1:9" x14ac:dyDescent="0.25">
      <c r="A8" s="2">
        <v>7</v>
      </c>
      <c r="B8" s="2" t="s">
        <v>5</v>
      </c>
      <c r="C8" s="2">
        <v>2</v>
      </c>
      <c r="D8" s="4">
        <v>45893</v>
      </c>
      <c r="E8" s="4" t="s">
        <v>44</v>
      </c>
      <c r="F8" s="7">
        <v>3</v>
      </c>
      <c r="G8" s="7">
        <v>4</v>
      </c>
      <c r="H8" s="3">
        <v>60</v>
      </c>
      <c r="I8" s="3">
        <f t="shared" si="0"/>
        <v>240</v>
      </c>
    </row>
    <row r="9" spans="1:9" x14ac:dyDescent="0.25">
      <c r="A9" s="2">
        <v>8</v>
      </c>
      <c r="B9" s="2" t="s">
        <v>6</v>
      </c>
      <c r="C9" s="2">
        <v>2</v>
      </c>
      <c r="D9" s="4">
        <v>45793</v>
      </c>
      <c r="E9" s="4" t="s">
        <v>44</v>
      </c>
      <c r="F9" s="7">
        <v>4</v>
      </c>
      <c r="G9" s="7">
        <v>5</v>
      </c>
      <c r="H9" s="3">
        <v>60</v>
      </c>
      <c r="I9" s="3">
        <f t="shared" si="0"/>
        <v>300</v>
      </c>
    </row>
    <row r="10" spans="1:9" x14ac:dyDescent="0.25">
      <c r="A10" s="2">
        <v>9</v>
      </c>
      <c r="B10" s="2" t="s">
        <v>7</v>
      </c>
      <c r="C10" s="2">
        <v>2</v>
      </c>
      <c r="D10" s="4">
        <v>45721</v>
      </c>
      <c r="E10" s="4" t="s">
        <v>44</v>
      </c>
      <c r="F10" s="7">
        <v>4</v>
      </c>
      <c r="G10" s="7">
        <v>8</v>
      </c>
      <c r="H10" s="3">
        <v>60</v>
      </c>
      <c r="I10" s="3">
        <f t="shared" si="0"/>
        <v>480</v>
      </c>
    </row>
    <row r="11" spans="1:9" x14ac:dyDescent="0.25">
      <c r="A11" s="2">
        <v>10</v>
      </c>
      <c r="B11" s="2" t="s">
        <v>5</v>
      </c>
      <c r="C11" s="2">
        <v>2</v>
      </c>
      <c r="D11" s="4">
        <v>45850</v>
      </c>
      <c r="E11" s="4" t="s">
        <v>43</v>
      </c>
      <c r="F11" s="7">
        <v>3</v>
      </c>
      <c r="G11" s="7">
        <v>7</v>
      </c>
      <c r="H11" s="3">
        <v>50</v>
      </c>
      <c r="I11" s="3">
        <f t="shared" si="0"/>
        <v>350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6"/>
  <sheetViews>
    <sheetView workbookViewId="0">
      <selection activeCell="D2" sqref="D2"/>
    </sheetView>
  </sheetViews>
  <sheetFormatPr defaultRowHeight="15" x14ac:dyDescent="0.25"/>
  <cols>
    <col min="1" max="1" width="11.85546875" bestFit="1" customWidth="1"/>
    <col min="3" max="3" width="17.28515625" bestFit="1" customWidth="1"/>
    <col min="4" max="4" width="12.85546875" bestFit="1" customWidth="1"/>
  </cols>
  <sheetData>
    <row r="1" spans="1:4" x14ac:dyDescent="0.25">
      <c r="A1" t="s">
        <v>20</v>
      </c>
      <c r="B1" t="s">
        <v>0</v>
      </c>
      <c r="C1" t="s">
        <v>21</v>
      </c>
      <c r="D1" t="s">
        <v>22</v>
      </c>
    </row>
    <row r="2" spans="1:4" x14ac:dyDescent="0.25">
      <c r="A2" s="2">
        <v>1</v>
      </c>
      <c r="B2" s="2" t="s">
        <v>6</v>
      </c>
      <c r="C2" s="4">
        <v>45705</v>
      </c>
      <c r="D2" s="2">
        <v>2</v>
      </c>
    </row>
    <row r="3" spans="1:4" x14ac:dyDescent="0.25">
      <c r="A3" s="2">
        <v>2</v>
      </c>
      <c r="B3" s="2" t="s">
        <v>7</v>
      </c>
      <c r="C3" s="4">
        <v>45835</v>
      </c>
      <c r="D3" s="2">
        <v>3</v>
      </c>
    </row>
    <row r="4" spans="1:4" x14ac:dyDescent="0.25">
      <c r="A4" s="2">
        <v>3</v>
      </c>
      <c r="B4" s="2" t="s">
        <v>8</v>
      </c>
      <c r="C4" s="4">
        <v>45785</v>
      </c>
      <c r="D4" s="2">
        <v>19</v>
      </c>
    </row>
    <row r="5" spans="1:4" x14ac:dyDescent="0.25">
      <c r="A5" s="2">
        <v>4</v>
      </c>
      <c r="B5" s="2" t="s">
        <v>7</v>
      </c>
      <c r="C5" s="4">
        <v>45732</v>
      </c>
      <c r="D5" s="2">
        <v>5</v>
      </c>
    </row>
    <row r="6" spans="1:4" x14ac:dyDescent="0.25">
      <c r="A6" s="2">
        <v>5</v>
      </c>
      <c r="B6" s="2" t="s">
        <v>7</v>
      </c>
      <c r="C6" s="4">
        <v>45836</v>
      </c>
      <c r="D6" s="2">
        <v>12</v>
      </c>
    </row>
    <row r="7" spans="1:4" x14ac:dyDescent="0.25">
      <c r="A7" s="2">
        <v>6</v>
      </c>
      <c r="B7" s="2" t="s">
        <v>8</v>
      </c>
      <c r="C7" s="4">
        <v>45740</v>
      </c>
      <c r="D7" s="2">
        <v>16</v>
      </c>
    </row>
    <row r="8" spans="1:4" x14ac:dyDescent="0.25">
      <c r="A8" s="2">
        <v>7</v>
      </c>
      <c r="B8" s="2" t="s">
        <v>6</v>
      </c>
      <c r="C8" s="4">
        <v>45713</v>
      </c>
      <c r="D8" s="2">
        <v>17</v>
      </c>
    </row>
    <row r="9" spans="1:4" x14ac:dyDescent="0.25">
      <c r="A9" s="2">
        <v>8</v>
      </c>
      <c r="B9" s="2" t="s">
        <v>7</v>
      </c>
      <c r="C9" s="4">
        <v>45680</v>
      </c>
      <c r="D9" s="2">
        <v>8</v>
      </c>
    </row>
    <row r="10" spans="1:4" x14ac:dyDescent="0.25">
      <c r="A10" s="2">
        <v>9</v>
      </c>
      <c r="B10" s="2" t="s">
        <v>8</v>
      </c>
      <c r="C10" s="4">
        <v>45698</v>
      </c>
      <c r="D10" s="2">
        <v>14</v>
      </c>
    </row>
    <row r="11" spans="1:4" x14ac:dyDescent="0.25">
      <c r="A11" s="2">
        <v>10</v>
      </c>
      <c r="B11" s="2" t="s">
        <v>6</v>
      </c>
      <c r="C11" s="4">
        <v>45786</v>
      </c>
      <c r="D11" s="2">
        <v>2</v>
      </c>
    </row>
    <row r="12" spans="1:4" x14ac:dyDescent="0.25">
      <c r="A12" s="2">
        <v>11</v>
      </c>
      <c r="B12" s="2" t="s">
        <v>4</v>
      </c>
      <c r="C12" s="4">
        <v>45738</v>
      </c>
      <c r="D12" s="2">
        <v>11</v>
      </c>
    </row>
    <row r="13" spans="1:4" x14ac:dyDescent="0.25">
      <c r="A13" s="2">
        <v>12</v>
      </c>
      <c r="B13" s="2" t="s">
        <v>7</v>
      </c>
      <c r="C13" s="4">
        <v>45661</v>
      </c>
      <c r="D13" s="2">
        <v>11</v>
      </c>
    </row>
    <row r="14" spans="1:4" x14ac:dyDescent="0.25">
      <c r="A14" s="2">
        <v>13</v>
      </c>
      <c r="B14" s="2" t="s">
        <v>8</v>
      </c>
      <c r="C14" s="4">
        <v>45827</v>
      </c>
      <c r="D14" s="2">
        <v>5</v>
      </c>
    </row>
    <row r="15" spans="1:4" x14ac:dyDescent="0.25">
      <c r="A15" s="2">
        <v>14</v>
      </c>
      <c r="B15" s="2" t="s">
        <v>4</v>
      </c>
      <c r="C15" s="4">
        <v>45702</v>
      </c>
      <c r="D15" s="2">
        <v>20</v>
      </c>
    </row>
    <row r="16" spans="1:4" x14ac:dyDescent="0.25">
      <c r="A16" s="2">
        <v>15</v>
      </c>
      <c r="B16" s="2" t="s">
        <v>4</v>
      </c>
      <c r="C16" s="4">
        <v>45685</v>
      </c>
      <c r="D16" s="2">
        <v>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selection sqref="A1:H11"/>
    </sheetView>
  </sheetViews>
  <sheetFormatPr defaultRowHeight="15" x14ac:dyDescent="0.25"/>
  <cols>
    <col min="1" max="1" width="11.85546875" bestFit="1" customWidth="1"/>
    <col min="3" max="3" width="12.140625" bestFit="1" customWidth="1"/>
    <col min="4" max="4" width="13.140625" bestFit="1" customWidth="1"/>
    <col min="5" max="5" width="17.28515625" bestFit="1" customWidth="1"/>
    <col min="6" max="6" width="15.85546875" bestFit="1" customWidth="1"/>
    <col min="7" max="7" width="16.140625" bestFit="1" customWidth="1"/>
    <col min="8" max="8" width="12.85546875" bestFit="1" customWidth="1"/>
  </cols>
  <sheetData>
    <row r="1" spans="1:8" x14ac:dyDescent="0.25">
      <c r="A1" s="2" t="s">
        <v>20</v>
      </c>
      <c r="B1" s="2" t="s">
        <v>0</v>
      </c>
      <c r="C1" s="2" t="s">
        <v>23</v>
      </c>
      <c r="D1" s="2" t="s">
        <v>24</v>
      </c>
      <c r="E1" s="2" t="s">
        <v>1</v>
      </c>
      <c r="F1" s="2" t="s">
        <v>25</v>
      </c>
      <c r="G1" s="2" t="s">
        <v>26</v>
      </c>
      <c r="H1" s="2" t="s">
        <v>39</v>
      </c>
    </row>
    <row r="2" spans="1:8" x14ac:dyDescent="0.25">
      <c r="A2" s="2">
        <v>1</v>
      </c>
      <c r="B2" s="2" t="s">
        <v>7</v>
      </c>
      <c r="C2" s="2" t="s">
        <v>27</v>
      </c>
      <c r="D2" s="2" t="s">
        <v>28</v>
      </c>
      <c r="E2" s="4">
        <v>45751</v>
      </c>
      <c r="F2" s="2">
        <v>610</v>
      </c>
      <c r="G2" s="3">
        <v>2.75</v>
      </c>
      <c r="H2" s="3">
        <f>G2*F2</f>
        <v>1677.5</v>
      </c>
    </row>
    <row r="3" spans="1:8" x14ac:dyDescent="0.25">
      <c r="A3" s="2">
        <v>2</v>
      </c>
      <c r="B3" s="2" t="s">
        <v>7</v>
      </c>
      <c r="C3" s="2" t="s">
        <v>29</v>
      </c>
      <c r="D3" s="2" t="s">
        <v>30</v>
      </c>
      <c r="E3" s="4">
        <v>45693</v>
      </c>
      <c r="F3" s="2">
        <v>758</v>
      </c>
      <c r="G3" s="3">
        <v>3.1</v>
      </c>
      <c r="H3" s="3">
        <f t="shared" ref="H3:H11" si="0">G3*F3</f>
        <v>2349.8000000000002</v>
      </c>
    </row>
    <row r="4" spans="1:8" x14ac:dyDescent="0.25">
      <c r="A4" s="2">
        <v>3</v>
      </c>
      <c r="B4" s="2" t="s">
        <v>7</v>
      </c>
      <c r="C4" s="2" t="s">
        <v>27</v>
      </c>
      <c r="D4" s="2" t="s">
        <v>31</v>
      </c>
      <c r="E4" s="4">
        <v>45737</v>
      </c>
      <c r="F4" s="2">
        <v>1185</v>
      </c>
      <c r="G4" s="3">
        <v>1.99</v>
      </c>
      <c r="H4" s="3">
        <f t="shared" si="0"/>
        <v>2358.15</v>
      </c>
    </row>
    <row r="5" spans="1:8" x14ac:dyDescent="0.25">
      <c r="A5" s="2">
        <v>4</v>
      </c>
      <c r="B5" s="2" t="s">
        <v>5</v>
      </c>
      <c r="C5" s="2" t="s">
        <v>27</v>
      </c>
      <c r="D5" s="2" t="s">
        <v>31</v>
      </c>
      <c r="E5" s="4">
        <v>45741</v>
      </c>
      <c r="F5" s="2">
        <v>1461</v>
      </c>
      <c r="G5" s="3">
        <v>1.71</v>
      </c>
      <c r="H5" s="3">
        <f t="shared" si="0"/>
        <v>2498.31</v>
      </c>
    </row>
    <row r="6" spans="1:8" x14ac:dyDescent="0.25">
      <c r="A6" s="2">
        <v>5</v>
      </c>
      <c r="B6" s="2" t="s">
        <v>4</v>
      </c>
      <c r="C6" s="2" t="s">
        <v>27</v>
      </c>
      <c r="D6" s="2" t="s">
        <v>30</v>
      </c>
      <c r="E6" s="4">
        <v>45781</v>
      </c>
      <c r="F6" s="2">
        <v>1680</v>
      </c>
      <c r="G6" s="3">
        <v>2.17</v>
      </c>
      <c r="H6" s="3">
        <f t="shared" si="0"/>
        <v>3645.6</v>
      </c>
    </row>
    <row r="7" spans="1:8" x14ac:dyDescent="0.25">
      <c r="A7" s="2">
        <v>6</v>
      </c>
      <c r="B7" s="2" t="s">
        <v>5</v>
      </c>
      <c r="C7" s="2" t="s">
        <v>27</v>
      </c>
      <c r="D7" s="2" t="s">
        <v>28</v>
      </c>
      <c r="E7" s="4">
        <v>45775</v>
      </c>
      <c r="F7" s="2">
        <v>867</v>
      </c>
      <c r="G7" s="3">
        <v>3.21</v>
      </c>
      <c r="H7" s="3">
        <f t="shared" si="0"/>
        <v>2783.07</v>
      </c>
    </row>
    <row r="8" spans="1:8" x14ac:dyDescent="0.25">
      <c r="A8" s="2">
        <v>7</v>
      </c>
      <c r="B8" s="2" t="s">
        <v>8</v>
      </c>
      <c r="C8" s="2" t="s">
        <v>29</v>
      </c>
      <c r="D8" s="2" t="s">
        <v>28</v>
      </c>
      <c r="E8" s="4">
        <v>45826</v>
      </c>
      <c r="F8" s="2">
        <v>1324</v>
      </c>
      <c r="G8" s="3">
        <v>3.17</v>
      </c>
      <c r="H8" s="3">
        <f t="shared" si="0"/>
        <v>4197.08</v>
      </c>
    </row>
    <row r="9" spans="1:8" x14ac:dyDescent="0.25">
      <c r="A9" s="2">
        <v>8</v>
      </c>
      <c r="B9" s="2" t="s">
        <v>4</v>
      </c>
      <c r="C9" s="2" t="s">
        <v>32</v>
      </c>
      <c r="D9" s="2" t="s">
        <v>28</v>
      </c>
      <c r="E9" s="4">
        <v>45759</v>
      </c>
      <c r="F9" s="2">
        <v>1722</v>
      </c>
      <c r="G9" s="3">
        <v>1.82</v>
      </c>
      <c r="H9" s="3">
        <f t="shared" si="0"/>
        <v>3134.04</v>
      </c>
    </row>
    <row r="10" spans="1:8" x14ac:dyDescent="0.25">
      <c r="A10" s="2">
        <v>9</v>
      </c>
      <c r="B10" s="2" t="s">
        <v>5</v>
      </c>
      <c r="C10" s="2" t="s">
        <v>29</v>
      </c>
      <c r="D10" s="2" t="s">
        <v>31</v>
      </c>
      <c r="E10" s="4">
        <v>45820</v>
      </c>
      <c r="F10" s="2">
        <v>1749</v>
      </c>
      <c r="G10" s="3">
        <v>2.0499999999999998</v>
      </c>
      <c r="H10" s="3">
        <f t="shared" si="0"/>
        <v>3585.45</v>
      </c>
    </row>
    <row r="11" spans="1:8" x14ac:dyDescent="0.25">
      <c r="A11" s="2">
        <v>10</v>
      </c>
      <c r="B11" s="2" t="s">
        <v>6</v>
      </c>
      <c r="C11" s="2" t="s">
        <v>29</v>
      </c>
      <c r="D11" s="2" t="s">
        <v>31</v>
      </c>
      <c r="E11" s="4">
        <v>45795</v>
      </c>
      <c r="F11" s="2">
        <v>972</v>
      </c>
      <c r="G11" s="3">
        <v>2.2799999999999998</v>
      </c>
      <c r="H11" s="3">
        <f t="shared" si="0"/>
        <v>2216.16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selection activeCell="D31" sqref="D31"/>
    </sheetView>
  </sheetViews>
  <sheetFormatPr defaultRowHeight="15" x14ac:dyDescent="0.25"/>
  <cols>
    <col min="3" max="3" width="13.5703125" bestFit="1" customWidth="1"/>
    <col min="4" max="4" width="13.140625" bestFit="1" customWidth="1"/>
    <col min="5" max="5" width="17.28515625" bestFit="1" customWidth="1"/>
    <col min="6" max="6" width="12.85546875" bestFit="1" customWidth="1"/>
    <col min="7" max="7" width="16.140625" bestFit="1" customWidth="1"/>
    <col min="8" max="8" width="12.85546875" bestFit="1" customWidth="1"/>
  </cols>
  <sheetData>
    <row r="1" spans="1:8" x14ac:dyDescent="0.25">
      <c r="A1" s="2" t="s">
        <v>20</v>
      </c>
      <c r="B1" s="2" t="s">
        <v>0</v>
      </c>
      <c r="C1" s="2" t="s">
        <v>33</v>
      </c>
      <c r="D1" s="2" t="s">
        <v>24</v>
      </c>
      <c r="E1" s="2" t="s">
        <v>21</v>
      </c>
      <c r="F1" s="2" t="s">
        <v>22</v>
      </c>
      <c r="G1" s="2" t="s">
        <v>26</v>
      </c>
      <c r="H1" s="2" t="s">
        <v>39</v>
      </c>
    </row>
    <row r="2" spans="1:8" x14ac:dyDescent="0.25">
      <c r="A2" s="2">
        <v>1</v>
      </c>
      <c r="B2" s="2" t="s">
        <v>7</v>
      </c>
      <c r="C2" s="2" t="s">
        <v>34</v>
      </c>
      <c r="D2" s="2" t="s">
        <v>35</v>
      </c>
      <c r="E2" s="4">
        <v>45674</v>
      </c>
      <c r="F2" s="2">
        <v>34</v>
      </c>
      <c r="G2" s="3">
        <v>9.8699999999999992</v>
      </c>
      <c r="H2" s="3">
        <f>G2*F2</f>
        <v>335.58</v>
      </c>
    </row>
    <row r="3" spans="1:8" x14ac:dyDescent="0.25">
      <c r="A3" s="2">
        <v>2</v>
      </c>
      <c r="B3" s="2" t="s">
        <v>8</v>
      </c>
      <c r="C3" s="2" t="s">
        <v>36</v>
      </c>
      <c r="D3" s="2" t="s">
        <v>35</v>
      </c>
      <c r="E3" s="4">
        <v>45701</v>
      </c>
      <c r="F3" s="2">
        <v>20</v>
      </c>
      <c r="G3" s="3">
        <v>9.31</v>
      </c>
      <c r="H3" s="3">
        <f t="shared" ref="H3:H11" si="0">G3*F3</f>
        <v>186.20000000000002</v>
      </c>
    </row>
    <row r="4" spans="1:8" x14ac:dyDescent="0.25">
      <c r="A4" s="2">
        <v>3</v>
      </c>
      <c r="B4" s="2" t="s">
        <v>6</v>
      </c>
      <c r="C4" s="2" t="s">
        <v>34</v>
      </c>
      <c r="D4" s="2" t="s">
        <v>35</v>
      </c>
      <c r="E4" s="4">
        <v>45789</v>
      </c>
      <c r="F4" s="2">
        <v>195</v>
      </c>
      <c r="G4" s="3">
        <v>18.3</v>
      </c>
      <c r="H4" s="3">
        <f t="shared" si="0"/>
        <v>3568.5</v>
      </c>
    </row>
    <row r="5" spans="1:8" x14ac:dyDescent="0.25">
      <c r="A5" s="2">
        <v>4</v>
      </c>
      <c r="B5" s="2" t="s">
        <v>7</v>
      </c>
      <c r="C5" s="2" t="s">
        <v>36</v>
      </c>
      <c r="D5" s="2" t="s">
        <v>37</v>
      </c>
      <c r="E5" s="4">
        <v>45675</v>
      </c>
      <c r="F5" s="2">
        <v>55</v>
      </c>
      <c r="G5" s="3">
        <v>8.23</v>
      </c>
      <c r="H5" s="3">
        <f t="shared" si="0"/>
        <v>452.65000000000003</v>
      </c>
    </row>
    <row r="6" spans="1:8" x14ac:dyDescent="0.25">
      <c r="A6" s="2">
        <v>5</v>
      </c>
      <c r="B6" s="2" t="s">
        <v>5</v>
      </c>
      <c r="C6" s="2" t="s">
        <v>34</v>
      </c>
      <c r="D6" s="2" t="s">
        <v>35</v>
      </c>
      <c r="E6" s="4">
        <v>45753</v>
      </c>
      <c r="F6" s="2">
        <v>153</v>
      </c>
      <c r="G6" s="3">
        <v>14.02</v>
      </c>
      <c r="H6" s="3">
        <f t="shared" si="0"/>
        <v>2145.06</v>
      </c>
    </row>
    <row r="7" spans="1:8" x14ac:dyDescent="0.25">
      <c r="A7" s="2">
        <v>6</v>
      </c>
      <c r="B7" s="2" t="s">
        <v>5</v>
      </c>
      <c r="C7" s="2" t="s">
        <v>36</v>
      </c>
      <c r="D7" s="2" t="s">
        <v>37</v>
      </c>
      <c r="E7" s="4">
        <v>45748</v>
      </c>
      <c r="F7" s="2">
        <v>66</v>
      </c>
      <c r="G7" s="3">
        <v>14.74</v>
      </c>
      <c r="H7" s="3">
        <f t="shared" si="0"/>
        <v>972.84</v>
      </c>
    </row>
    <row r="8" spans="1:8" x14ac:dyDescent="0.25">
      <c r="A8" s="2">
        <v>7</v>
      </c>
      <c r="B8" s="2" t="s">
        <v>7</v>
      </c>
      <c r="C8" s="2" t="s">
        <v>34</v>
      </c>
      <c r="D8" s="2" t="s">
        <v>35</v>
      </c>
      <c r="E8" s="4">
        <v>45713</v>
      </c>
      <c r="F8" s="2">
        <v>140</v>
      </c>
      <c r="G8" s="3">
        <v>5.63</v>
      </c>
      <c r="H8" s="3">
        <f t="shared" si="0"/>
        <v>788.19999999999993</v>
      </c>
    </row>
    <row r="9" spans="1:8" x14ac:dyDescent="0.25">
      <c r="A9" s="2">
        <v>8</v>
      </c>
      <c r="B9" s="2" t="s">
        <v>6</v>
      </c>
      <c r="C9" s="2" t="s">
        <v>34</v>
      </c>
      <c r="D9" s="2" t="s">
        <v>37</v>
      </c>
      <c r="E9" s="4">
        <v>45801</v>
      </c>
      <c r="F9" s="2">
        <v>136</v>
      </c>
      <c r="G9" s="3">
        <v>11.16</v>
      </c>
      <c r="H9" s="3">
        <f t="shared" si="0"/>
        <v>1517.76</v>
      </c>
    </row>
    <row r="10" spans="1:8" x14ac:dyDescent="0.25">
      <c r="A10" s="2">
        <v>9</v>
      </c>
      <c r="B10" s="2" t="s">
        <v>6</v>
      </c>
      <c r="C10" s="2" t="s">
        <v>38</v>
      </c>
      <c r="D10" s="2" t="s">
        <v>35</v>
      </c>
      <c r="E10" s="4">
        <v>45739</v>
      </c>
      <c r="F10" s="2">
        <v>78</v>
      </c>
      <c r="G10" s="3">
        <v>9.5500000000000007</v>
      </c>
      <c r="H10" s="3">
        <f t="shared" si="0"/>
        <v>744.90000000000009</v>
      </c>
    </row>
    <row r="11" spans="1:8" x14ac:dyDescent="0.25">
      <c r="A11" s="2">
        <v>10</v>
      </c>
      <c r="B11" s="2" t="s">
        <v>5</v>
      </c>
      <c r="C11" s="2" t="s">
        <v>38</v>
      </c>
      <c r="D11" s="2" t="s">
        <v>35</v>
      </c>
      <c r="E11" s="4">
        <v>45660</v>
      </c>
      <c r="F11" s="2">
        <v>149</v>
      </c>
      <c r="G11" s="3">
        <v>14.59</v>
      </c>
      <c r="H11" s="3">
        <f t="shared" si="0"/>
        <v>2173.91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Lote</vt:lpstr>
      <vt:lpstr>Peso</vt:lpstr>
      <vt:lpstr>Cliente</vt:lpstr>
      <vt:lpstr>Venda</vt:lpstr>
      <vt:lpstr>Mortalidade</vt:lpstr>
      <vt:lpstr>Racao</vt:lpstr>
      <vt:lpstr>Medicacao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joao.marcos.dasilva@outlook.com</cp:lastModifiedBy>
  <dcterms:created xsi:type="dcterms:W3CDTF">2026-02-23T01:42:53Z</dcterms:created>
  <dcterms:modified xsi:type="dcterms:W3CDTF">2026-02-23T02:44:48Z</dcterms:modified>
</cp:coreProperties>
</file>